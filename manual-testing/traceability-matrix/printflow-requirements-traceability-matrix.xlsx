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75fa63a6e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 Summary" sheetId="1" r:id="Rea4a2f0411784738"/>
    <x:sheet xmlns:r="http://schemas.openxmlformats.org/officeDocument/2006/relationships" name="RTM" sheetId="2" r:id="R68753c93a944425e"/>
    <x:sheet xmlns:r="http://schemas.openxmlformats.org/officeDocument/2006/relationships" name="Coverage Gaps" sheetId="3" r:id="Rd3e4b0cc70b140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F3F6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4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right style="thin">
        <x:color rgb="FFC9D3DD"/>
      </x:right>
      <x:bottom style="thin">
        <x:color rgb="FFC9D3DD"/>
      </x:bottom>
    </x:border>
    <x:border>
      <x:left style="thin">
        <x:color rgb="FFC9D3DD"/>
      </x:left>
      <x:right style="thin">
        <x:color rgb="FFC9D3DD"/>
      </x:right>
      <x:bottom style="thin">
        <x:color rgb="FFC9D3DD"/>
      </x:bottom>
    </x:border>
    <x:border>
      <x:left style="thin">
        <x:color rgb="FFC9D3DD"/>
      </x:left>
      <x:bottom style="thin">
        <x:color rgb="FFC9D3DD"/>
      </x:bottom>
    </x:border>
    <x:border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D3DD"/>
      </x:left>
      <x:top style="thin">
        <x:color rgb="FFC9D3DD"/>
      </x:top>
      <x:bottom style="thin">
        <x:color rgb="FFC9D3DD"/>
      </x:bottom>
    </x:border>
    <x:border>
      <x:right style="thin">
        <x:color rgb="FFC9D3DD"/>
      </x:right>
      <x:top style="thin">
        <x:color rgb="FFC9D3DD"/>
      </x:top>
    </x:border>
    <x:border>
      <x:left style="thin">
        <x:color rgb="FFC9D3DD"/>
      </x:left>
      <x:right style="thin">
        <x:color rgb="FFC9D3DD"/>
      </x:right>
      <x:top style="thin">
        <x:color rgb="FFC9D3DD"/>
      </x:top>
    </x:border>
    <x:border>
      <x:left style="thin">
        <x:color rgb="FFC9D3DD"/>
      </x:left>
      <x:top style="thin">
        <x:color rgb="FFC9D3DD"/>
      </x:top>
    </x:border>
    <x:border>
      <x:top style="thin">
        <x:color rgb="FFC9D3DD"/>
      </x:top>
    </x:border>
    <x:border>
      <x:left style="thin">
        <x:color rgb="FFC9D3DD"/>
      </x:left>
    </x:border>
    <x:border>
      <x:right style="thin">
        <x:color rgb="FFC9D3DD"/>
      </x:right>
    </x:border>
    <x:border>
      <x:bottom style="thin">
        <x:color rgb="FFC9D3DD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0" fontId="4" fillId="0" borderId="9" xfId="0" applyNumberFormat="1" applyFont="1" applyFill="1" applyBorder="1" applyAlignment="1">
      <x:alignment horizontal="center" vertical="center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7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/>
    <x:xf numFmtId="0" fontId="0" fillId="3" borderId="13" xfId="0" applyNumberFormat="1" applyFont="1" applyFill="1" applyBorder="1"/>
    <x:xf numFmtId="0" fontId="0" fillId="3" borderId="2" xfId="0" applyNumberFormat="1" applyFont="1" applyFill="1" applyBorder="1"/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e4265d8af4485" /><Relationship Type="http://schemas.openxmlformats.org/officeDocument/2006/relationships/theme" Target="/xl/theme/theme1.xml" Id="R69286930546f4f64" /><Relationship Type="http://schemas.openxmlformats.org/officeDocument/2006/relationships/sharedStrings" Target="/xl/sharedStrings.xml" Id="R4ab31e0a944b476f" /><Relationship Type="http://schemas.openxmlformats.org/officeDocument/2006/relationships/worksheet" Target="/xl/worksheets/sheet1.xml" Id="Rea4a2f0411784738" /><Relationship Type="http://schemas.openxmlformats.org/officeDocument/2006/relationships/worksheet" Target="/xl/worksheets/sheet2.xml" Id="R68753c93a944425e" /><Relationship Type="http://schemas.openxmlformats.org/officeDocument/2006/relationships/worksheet" Target="/xl/worksheets/sheet3.xml" Id="Rd3e4b0cc70b14027" /></Relationships>
</file>

<file path=xl/tables/table1.xml><?xml version="1.0" encoding="utf-8"?>
<x:table xmlns:x="http://schemas.openxmlformats.org/spreadsheetml/2006/main" id="1" name="PrintFlowRTM" displayName="PrintFlowRTM" ref="A4:J44" headerRowCount="1" totalsRowCount="0" totalsRowShown="0">
  <x:tableColumns count="10">
    <x:tableColumn id="1" name="Business Requirement ID"/>
    <x:tableColumn id="2" name="Functional Requirement ID"/>
    <x:tableColumn id="3" name="Requirement Description"/>
    <x:tableColumn id="4" name="Test Scenario ID"/>
    <x:tableColumn id="5" name="Test Case ID"/>
    <x:tableColumn id="6" name="Priority"/>
    <x:tableColumn id="7" name="Coverage Status"/>
    <x:tableColumn id="8" name="Execution Status"/>
    <x:tableColumn id="9" name="Defect ID"/>
    <x:tableColumn id="10" name="Remar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GapTable" displayName="CoverageGapTable" ref="A3:F9" headerRowCount="1" totalsRowCount="0" totalsRowShown="0">
  <x:tableColumns count="6">
    <x:tableColumn id="1" name="Requirement ID"/>
    <x:tableColumn id="2" name="Requirement Description"/>
    <x:tableColumn id="3" name="Priority"/>
    <x:tableColumn id="4" name="Coverage Status"/>
    <x:tableColumn id="5" name="Recommended Action"/>
    <x:tableColumn id="6" name="Ac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d7ff5c14df4a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49bcb6a3c740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0" hidden="0" customWidth="1"/>
    <x:col min="5" max="5" width="38" hidden="0" customWidth="1"/>
    <x:col min="6" max="6" width="48" hidden="0" customWidth="1"/>
  </x:cols>
  <x:sheetData>
    <x:row r="1" ht="30" customHeight="1">
      <x:c r="A1" s="3" t="str">
        <x:v>PrintFlow – Requirements Coverage Summary</x:v>
      </x:c>
      <x:c r="B1" s="3" t="str">
        <x:v>PrintFlow – Requirements Coverage Summary</x:v>
      </x:c>
      <x:c r="C1" s="3" t="str">
        <x:v>PrintFlow – Requirements Coverage Summary</x:v>
      </x:c>
      <x:c r="D1" s="3" t="str">
        <x:v>PrintFlow – Requirements Coverage Summary</x:v>
      </x:c>
      <x:c r="E1" s="3" t="str">
        <x:v>PrintFlow – Requirements Coverage Summary</x:v>
      </x:c>
      <x:c r="F1" s="3" t="str">
        <x:v>PrintFlow – Requirements Coverage Summary</x:v>
      </x:c>
    </x:row>
    <x:row r="3" ht="34" customHeight="1">
      <x:c r="A3" s="11" t="str">
        <x:v>Metric</x:v>
      </x:c>
      <x:c r="B3" s="11" t="str">
        <x:v>Count</x:v>
      </x:c>
      <x:c r="D3" s="11" t="str">
        <x:v>Coverage Status</x:v>
      </x:c>
      <x:c r="E3" s="11" t="str">
        <x:v>Meaning</x:v>
      </x:c>
      <x:c r="F3" s="11" t="str">
        <x:v>Required Action</x:v>
      </x:c>
    </x:row>
    <x:row r="4">
      <x:c r="A4" s="56" t="str">
        <x:v>Total Functional Requirements</x:v>
      </x:c>
      <x:c r="B4" s="62" t="n">
        <x:f>COUNTA('RTM'!$B$5:$B$44)</x:f>
        <x:v>40</x:v>
      </x:c>
      <x:c r="D4" s="65" t="str">
        <x:v>Covered</x:v>
      </x:c>
      <x:c r="E4" s="31" t="str">
        <x:v>At least one mapped test case exists.</x:v>
      </x:c>
      <x:c r="F4" s="32" t="str">
        <x:v>Review quality and execute when the application is available.</x:v>
      </x:c>
    </x:row>
    <x:row r="5">
      <x:c r="A5" s="57" t="str">
        <x:v>Covered</x:v>
      </x:c>
      <x:c r="B5" s="63" t="n">
        <x:f>COUNTIF('RTM'!$G$5:$G$44,"Covered")</x:f>
        <x:v>34</x:v>
      </x:c>
      <x:c r="D5" s="66" t="str">
        <x:v>Partial</x:v>
      </x:c>
      <x:c r="E5" s="34" t="str">
        <x:v>Some behaviours are covered but an identified gap remains.</x:v>
      </x:c>
      <x:c r="F5" s="35" t="str">
        <x:v>Add or expand test cases.</x:v>
      </x:c>
    </x:row>
    <x:row r="6">
      <x:c r="A6" s="57" t="str">
        <x:v>Partial</x:v>
      </x:c>
      <x:c r="B6" s="63" t="n">
        <x:f>COUNTIF('RTM'!$G$5:$G$44,"Partial")</x:f>
        <x:v>1</x:v>
      </x:c>
      <x:c r="D6" s="67" t="str">
        <x:v>Not Covered</x:v>
      </x:c>
      <x:c r="E6" s="37" t="str">
        <x:v>No mapped test case currently exists.</x:v>
      </x:c>
      <x:c r="F6" s="38" t="str">
        <x:v>Create scenarios and detailed test cases.</x:v>
      </x:c>
    </x:row>
    <x:row r="7">
      <x:c r="A7" s="57" t="str">
        <x:v>Not Covered</x:v>
      </x:c>
      <x:c r="B7" s="63" t="n">
        <x:f>COUNTIF('RTM'!$G$5:$G$44,"Not Covered")</x:f>
        <x:v>5</x:v>
      </x:c>
    </x:row>
    <x:row r="8">
      <x:c r="A8" s="58" t="str">
        <x:v>Coverage Rate</x:v>
      </x:c>
      <x:c r="B8" s="64" t="n">
        <x:f>(B5+(B6*0.5))/B4</x:f>
        <x:v>0.8625</x:v>
      </x:c>
      <x:c r="D8" s="7" t="str">
        <x:v>Coverage interpretation</x:v>
      </x:c>
      <x:c r="E8" s="7"/>
      <x:c r="F8" s="7"/>
    </x:row>
    <x:row r="9">
      <x:c r="D9" s="85" t="str">
        <x:v>Initial weighted coverage counts Covered requirements as 1.0 and Partial requirements as 0.5. Coverage does not indicate execution success; all mapped tests remain Not Executed until a testable application is available.</x:v>
      </x:c>
      <x:c r="E9" s="86"/>
      <x:c r="F9" s="87"/>
    </x:row>
    <x:row r="10">
      <x:c r="D10" s="88"/>
      <x:c r="E10" s="89"/>
      <x:c r="F10" s="90"/>
    </x:row>
    <x:row r="11">
      <x:c r="D11" s="91"/>
      <x:c r="E11" s="92"/>
      <x:c r="F11" s="93"/>
    </x:row>
  </x:sheetData>
  <x:mergeCells>
    <x:mergeCell ref="A1:F1"/>
    <x:mergeCell ref="D8:F8"/>
    <x:mergeCell ref="D9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54" hidden="0" customWidth="1"/>
    <x:col min="4" max="4" width="34" hidden="0" customWidth="1"/>
    <x:col min="5" max="5" width="38" hidden="0" customWidth="1"/>
    <x:col min="6" max="6" width="12" hidden="0" customWidth="1"/>
    <x:col min="7" max="7" width="18" hidden="0" customWidth="1"/>
    <x:col min="8" max="8" width="18" hidden="0" customWidth="1"/>
    <x:col min="9" max="9" width="14" hidden="0" customWidth="1"/>
    <x:col min="10" max="10" width="48" hidden="0" customWidth="1"/>
  </x:cols>
  <x:sheetData>
    <x:row r="1" ht="30" customHeight="1">
      <x:c r="A1" s="3" t="str">
        <x:v>PrintFlow – Requirements Traceability Matrix</x:v>
      </x:c>
      <x:c r="B1" s="3" t="str">
        <x:v>PrintFlow – Requirements Traceability Matrix</x:v>
      </x:c>
      <x:c r="C1" s="3" t="str">
        <x:v>PrintFlow – Requirements Traceability Matrix</x:v>
      </x:c>
      <x:c r="D1" s="3" t="str">
        <x:v>PrintFlow – Requirements Traceability Matrix</x:v>
      </x:c>
      <x:c r="E1" s="3" t="str">
        <x:v>PrintFlow – Requirements Traceability Matrix</x:v>
      </x:c>
      <x:c r="F1" s="3" t="str">
        <x:v>PrintFlow – Requirements Traceability Matrix</x:v>
      </x:c>
      <x:c r="G1" s="3" t="str">
        <x:v>PrintFlow – Requirements Traceability Matrix</x:v>
      </x:c>
      <x:c r="H1" s="3" t="str">
        <x:v>PrintFlow – Requirements Traceability Matrix</x:v>
      </x:c>
      <x:c r="I1" s="3" t="str">
        <x:v>PrintFlow – Requirements Traceability Matrix</x:v>
      </x:c>
      <x:c r="J1" s="3" t="str">
        <x:v>PrintFlow – Requirements Traceability Matrix</x:v>
      </x:c>
    </x:row>
    <x:row r="2">
      <x:c r="A2" s="5" t="str">
        <x:v>Module: Printer Registration and Status Management  |  Version: 1.0  |  Prepared by: Muhammad Nur Iman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4" customHeight="1">
      <x:c r="A4" s="11" t="str">
        <x:v>Business Requirement ID</x:v>
      </x:c>
      <x:c r="B4" s="11" t="str">
        <x:v>Functional Requirement ID</x:v>
      </x:c>
      <x:c r="C4" s="11" t="str">
        <x:v>Requirement Description</x:v>
      </x:c>
      <x:c r="D4" s="11" t="str">
        <x:v>Test Scenario ID</x:v>
      </x:c>
      <x:c r="E4" s="11" t="str">
        <x:v>Test Case ID</x:v>
      </x:c>
      <x:c r="F4" s="11" t="str">
        <x:v>Priority</x:v>
      </x:c>
      <x:c r="G4" s="11" t="str">
        <x:v>Coverage Status</x:v>
      </x:c>
      <x:c r="H4" s="11" t="str">
        <x:v>Execution Status</x:v>
      </x:c>
      <x:c r="I4" s="11" t="str">
        <x:v>Defect ID</x:v>
      </x:c>
      <x:c r="J4" s="11" t="str">
        <x:v>Remarks</x:v>
      </x:c>
    </x:row>
    <x:row r="5" ht="60" customHeight="1">
      <x:c r="A5" s="39" t="str">
        <x:v>BR-004, BR-009</x:v>
      </x:c>
      <x:c r="B5" s="40" t="str">
        <x:v>FR-001</x:v>
      </x:c>
      <x:c r="C5" s="31" t="str">
        <x:v>Allow an Administrator to access the printer registration form.</x:v>
      </x:c>
      <x:c r="D5" s="31" t="str">
        <x:v>TS-REG-001, TS-REG-016</x:v>
      </x:c>
      <x:c r="E5" s="31" t="str">
        <x:v>TC-REG-001, TC-REG-002</x:v>
      </x:c>
      <x:c r="F5" s="45" t="str">
        <x:v>High</x:v>
      </x:c>
      <x:c r="G5" s="45" t="str">
        <x:v>Covered</x:v>
      </x:c>
      <x:c r="H5" s="45" t="str">
        <x:v>Not Executed</x:v>
      </x:c>
      <x:c r="I5" s="31" t="str"/>
      <x:c r="J5" s="32" t="str">
        <x:v>Administrator and Standard User access are validated.</x:v>
      </x:c>
    </x:row>
    <x:row r="6" ht="60" customHeight="1">
      <x:c r="A6" s="41" t="str">
        <x:v>BR-001</x:v>
      </x:c>
      <x:c r="B6" s="42" t="str">
        <x:v>FR-002</x:v>
      </x:c>
      <x:c r="C6" s="34" t="str">
        <x:v>Provide fields for Printer Name, Model, Serial Number, IP Address, Connection Type, Location, Firmware Version and Initial Status.</x:v>
      </x:c>
      <x:c r="D6" s="34" t="str">
        <x:v>TS-REG-002</x:v>
      </x:c>
      <x:c r="E6" s="34" t="str">
        <x:v>TC-REG-003</x:v>
      </x:c>
      <x:c r="F6" s="46" t="str">
        <x:v>High</x:v>
      </x:c>
      <x:c r="G6" s="46" t="str">
        <x:v>Covered</x:v>
      </x:c>
      <x:c r="H6" s="46" t="str">
        <x:v>Not Executed</x:v>
      </x:c>
      <x:c r="I6" s="34" t="str"/>
      <x:c r="J6" s="35" t="str"/>
    </x:row>
    <x:row r="7" ht="60" customHeight="1">
      <x:c r="A7" s="41" t="str">
        <x:v>BR-001, BR-002</x:v>
      </x:c>
      <x:c r="B7" s="42" t="str">
        <x:v>FR-003</x:v>
      </x:c>
      <x:c r="C7" s="34" t="str">
        <x:v>Require Printer Name, Model, Serial Number, Connection Type, Firmware Version and Initial Status.</x:v>
      </x:c>
      <x:c r="D7" s="34" t="str">
        <x:v>TS-REG-002, TS-REG-003, TS-REG-004, TS-REG-005, TS-REG-006</x:v>
      </x:c>
      <x:c r="E7" s="34" t="str">
        <x:v>TC-REG-003, TC-REG-006, TC-REG-007, TC-REG-008, TC-REG-009</x:v>
      </x:c>
      <x:c r="F7" s="46" t="str">
        <x:v>High</x:v>
      </x:c>
      <x:c r="G7" s="46" t="str">
        <x:v>Covered</x:v>
      </x:c>
      <x:c r="H7" s="46" t="str">
        <x:v>Not Executed</x:v>
      </x:c>
      <x:c r="I7" s="34" t="str"/>
      <x:c r="J7" s="35" t="str"/>
    </x:row>
    <x:row r="8" ht="60" customHeight="1">
      <x:c r="A8" s="41" t="str">
        <x:v>BR-001</x:v>
      </x:c>
      <x:c r="B8" s="42" t="str">
        <x:v>FR-004</x:v>
      </x:c>
      <x:c r="C8" s="34" t="str">
        <x:v>Provide Wi-Fi, Ethernet and USB connection-type options.</x:v>
      </x:c>
      <x:c r="D8" s="34" t="str">
        <x:v>TS-REG-012</x:v>
      </x:c>
      <x:c r="E8" s="34" t="str">
        <x:v>TC-REG-004</x:v>
      </x:c>
      <x:c r="F8" s="46" t="str">
        <x:v>High</x:v>
      </x:c>
      <x:c r="G8" s="46" t="str">
        <x:v>Covered</x:v>
      </x:c>
      <x:c r="H8" s="46" t="str">
        <x:v>Not Executed</x:v>
      </x:c>
      <x:c r="I8" s="34" t="str"/>
      <x:c r="J8" s="35" t="str"/>
    </x:row>
    <x:row r="9" ht="60" customHeight="1">
      <x:c r="A9" s="41" t="str">
        <x:v>BR-005, BR-006</x:v>
      </x:c>
      <x:c r="B9" s="42" t="str">
        <x:v>FR-005</x:v>
      </x:c>
      <x:c r="C9" s="34" t="str">
        <x:v>Provide Online, Offline and Maintenance initial-status options.</x:v>
      </x:c>
      <x:c r="D9" s="34" t="str">
        <x:v>TS-REG-013</x:v>
      </x:c>
      <x:c r="E9" s="34" t="str">
        <x:v>TC-REG-005</x:v>
      </x:c>
      <x:c r="F9" s="46" t="str">
        <x:v>High</x:v>
      </x:c>
      <x:c r="G9" s="46" t="str">
        <x:v>Covered</x:v>
      </x:c>
      <x:c r="H9" s="46" t="str">
        <x:v>Not Executed</x:v>
      </x:c>
      <x:c r="I9" s="34" t="str"/>
      <x:c r="J9" s="35" t="str"/>
    </x:row>
    <x:row r="10" ht="60" customHeight="1">
      <x:c r="A10" s="41" t="str">
        <x:v>BR-003</x:v>
      </x:c>
      <x:c r="B10" s="42" t="str">
        <x:v>FR-006</x:v>
      </x:c>
      <x:c r="C10" s="34" t="str">
        <x:v>Require an IP address for Wi-Fi and Ethernet printers.</x:v>
      </x:c>
      <x:c r="D10" s="34" t="str">
        <x:v>TS-REG-003, TS-REG-004, TS-REG-007, TS-REG-008</x:v>
      </x:c>
      <x:c r="E10" s="34" t="str">
        <x:v>TC-REG-006, TC-REG-007, TC-REG-010, TC-REG-011</x:v>
      </x:c>
      <x:c r="F10" s="46" t="str">
        <x:v>High</x:v>
      </x:c>
      <x:c r="G10" s="46" t="str">
        <x:v>Covered</x:v>
      </x:c>
      <x:c r="H10" s="46" t="str">
        <x:v>Not Executed</x:v>
      </x:c>
      <x:c r="I10" s="34" t="str"/>
      <x:c r="J10" s="35" t="str"/>
    </x:row>
    <x:row r="11" ht="60" customHeight="1">
      <x:c r="A11" s="41" t="str">
        <x:v>BR-003</x:v>
      </x:c>
      <x:c r="B11" s="42" t="str">
        <x:v>FR-007</x:v>
      </x:c>
      <x:c r="C11" s="34" t="str">
        <x:v>Allow the IP Address field to remain empty for USB printers.</x:v>
      </x:c>
      <x:c r="D11" s="34" t="str">
        <x:v>TS-REG-005</x:v>
      </x:c>
      <x:c r="E11" s="34" t="str">
        <x:v>TC-REG-008</x:v>
      </x:c>
      <x:c r="F11" s="46" t="str">
        <x:v>Medium</x:v>
      </x:c>
      <x:c r="G11" s="46" t="str">
        <x:v>Covered</x:v>
      </x:c>
      <x:c r="H11" s="46" t="str">
        <x:v>Not Executed</x:v>
      </x:c>
      <x:c r="I11" s="34" t="str"/>
      <x:c r="J11" s="35" t="str"/>
    </x:row>
    <x:row r="12" ht="60" customHeight="1">
      <x:c r="A12" s="41" t="str">
        <x:v>BR-003</x:v>
      </x:c>
      <x:c r="B12" s="42" t="str">
        <x:v>FR-008</x:v>
      </x:c>
      <x:c r="C12" s="34" t="str">
        <x:v>Validate that entered IP addresses follow the IPv4 format.</x:v>
      </x:c>
      <x:c r="D12" s="34" t="str">
        <x:v>TS-REG-009</x:v>
      </x:c>
      <x:c r="E12" s="34" t="str">
        <x:v>TC-REG-012, TC-REG-013, TC-REG-014</x:v>
      </x:c>
      <x:c r="F12" s="46" t="str">
        <x:v>High</x:v>
      </x:c>
      <x:c r="G12" s="46" t="str">
        <x:v>Covered</x:v>
      </x:c>
      <x:c r="H12" s="46" t="str">
        <x:v>Not Executed</x:v>
      </x:c>
      <x:c r="I12" s="34" t="str"/>
      <x:c r="J12" s="35" t="str">
        <x:v>Boundary acceptance requires a confirmed network policy.</x:v>
      </x:c>
    </x:row>
    <x:row r="13" ht="60" customHeight="1">
      <x:c r="A13" s="41" t="str">
        <x:v>BR-002</x:v>
      </x:c>
      <x:c r="B13" s="42" t="str">
        <x:v>FR-009</x:v>
      </x:c>
      <x:c r="C13" s="34" t="str">
        <x:v>Reject a serial number already assigned to another printer.</x:v>
      </x:c>
      <x:c r="D13" s="34" t="str">
        <x:v>TS-REG-010</x:v>
      </x:c>
      <x:c r="E13" s="34" t="str">
        <x:v>TC-REG-015</x:v>
      </x:c>
      <x:c r="F13" s="46" t="str">
        <x:v>High</x:v>
      </x:c>
      <x:c r="G13" s="46" t="str">
        <x:v>Covered</x:v>
      </x:c>
      <x:c r="H13" s="46" t="str">
        <x:v>Not Executed</x:v>
      </x:c>
      <x:c r="I13" s="34" t="str"/>
      <x:c r="J13" s="35" t="str"/>
    </x:row>
    <x:row r="14" ht="60" customHeight="1">
      <x:c r="A14" s="41" t="str">
        <x:v>BR-003</x:v>
      </x:c>
      <x:c r="B14" s="42" t="str">
        <x:v>FR-010</x:v>
      </x:c>
      <x:c r="C14" s="34" t="str">
        <x:v>Reject an IP address already assigned to another network printer.</x:v>
      </x:c>
      <x:c r="D14" s="34" t="str">
        <x:v>TS-REG-011</x:v>
      </x:c>
      <x:c r="E14" s="34" t="str">
        <x:v>TC-REG-016</x:v>
      </x:c>
      <x:c r="F14" s="46" t="str">
        <x:v>High</x:v>
      </x:c>
      <x:c r="G14" s="46" t="str">
        <x:v>Covered</x:v>
      </x:c>
      <x:c r="H14" s="46" t="str">
        <x:v>Not Executed</x:v>
      </x:c>
      <x:c r="I14" s="34" t="str"/>
      <x:c r="J14" s="35" t="str"/>
    </x:row>
    <x:row r="15" ht="60" customHeight="1">
      <x:c r="A15" s="41" t="str">
        <x:v>BR-010</x:v>
      </x:c>
      <x:c r="B15" s="42" t="str">
        <x:v>FR-011</x:v>
      </x:c>
      <x:c r="C15" s="34" t="str">
        <x:v>Display validation messages for invalid or missing required fields.</x:v>
      </x:c>
      <x:c r="D15" s="34" t="str">
        <x:v>TS-REG-006, TS-REG-007, TS-REG-008, TS-REG-009, TS-REG-010, TS-REG-011</x:v>
      </x:c>
      <x:c r="E15" s="34" t="str">
        <x:v>TC-REG-009, TC-REG-010, TC-REG-011, TC-REG-012, TC-REG-013, TC-REG-015, TC-REG-016</x:v>
      </x:c>
      <x:c r="F15" s="46" t="str">
        <x:v>High</x:v>
      </x:c>
      <x:c r="G15" s="46" t="str">
        <x:v>Covered</x:v>
      </x:c>
      <x:c r="H15" s="46" t="str">
        <x:v>Not Executed</x:v>
      </x:c>
      <x:c r="I15" s="34" t="str"/>
      <x:c r="J15" s="35" t="str"/>
    </x:row>
    <x:row r="16" ht="60" customHeight="1">
      <x:c r="A16" s="41" t="str">
        <x:v>BR-001, BR-004</x:v>
      </x:c>
      <x:c r="B16" s="42" t="str">
        <x:v>FR-012</x:v>
      </x:c>
      <x:c r="C16" s="34" t="str">
        <x:v>Register a printer when all submitted information is valid.</x:v>
      </x:c>
      <x:c r="D16" s="34" t="str">
        <x:v>TS-REG-003, TS-REG-004, TS-REG-005</x:v>
      </x:c>
      <x:c r="E16" s="34" t="str">
        <x:v>TC-REG-006, TC-REG-007, TC-REG-008</x:v>
      </x:c>
      <x:c r="F16" s="46" t="str">
        <x:v>High</x:v>
      </x:c>
      <x:c r="G16" s="46" t="str">
        <x:v>Covered</x:v>
      </x:c>
      <x:c r="H16" s="46" t="str">
        <x:v>Not Executed</x:v>
      </x:c>
      <x:c r="I16" s="34" t="str"/>
      <x:c r="J16" s="35" t="str"/>
    </x:row>
    <x:row r="17" ht="60" customHeight="1">
      <x:c r="A17" s="41" t="str">
        <x:v>BR-010</x:v>
      </x:c>
      <x:c r="B17" s="42" t="str">
        <x:v>FR-013</x:v>
      </x:c>
      <x:c r="C17" s="34" t="str">
        <x:v>Display a success message after successful printer registration.</x:v>
      </x:c>
      <x:c r="D17" s="34" t="str">
        <x:v>TS-REG-014</x:v>
      </x:c>
      <x:c r="E17" s="34" t="str">
        <x:v>TC-REG-017</x:v>
      </x:c>
      <x:c r="F17" s="46" t="str">
        <x:v>Medium</x:v>
      </x:c>
      <x:c r="G17" s="46" t="str">
        <x:v>Covered</x:v>
      </x:c>
      <x:c r="H17" s="46" t="str">
        <x:v>Not Executed</x:v>
      </x:c>
      <x:c r="I17" s="34" t="str"/>
      <x:c r="J17" s="35" t="str"/>
    </x:row>
    <x:row r="18" ht="60" customHeight="1">
      <x:c r="A18" s="41" t="str">
        <x:v>BR-001, BR-005</x:v>
      </x:c>
      <x:c r="B18" s="42" t="str">
        <x:v>FR-014</x:v>
      </x:c>
      <x:c r="C18" s="34" t="str">
        <x:v>Display a newly registered printer in the printer list.</x:v>
      </x:c>
      <x:c r="D18" s="34" t="str">
        <x:v>TS-REG-015</x:v>
      </x:c>
      <x:c r="E18" s="34" t="str">
        <x:v>TC-REG-018</x:v>
      </x:c>
      <x:c r="F18" s="46" t="str">
        <x:v>High</x:v>
      </x:c>
      <x:c r="G18" s="46" t="str">
        <x:v>Covered</x:v>
      </x:c>
      <x:c r="H18" s="46" t="str">
        <x:v>Not Executed</x:v>
      </x:c>
      <x:c r="I18" s="34" t="str"/>
      <x:c r="J18" s="35" t="str"/>
    </x:row>
    <x:row r="19" ht="60" customHeight="1">
      <x:c r="A19" s="41" t="str">
        <x:v>BR-001, BR-005</x:v>
      </x:c>
      <x:c r="B19" s="42" t="str">
        <x:v>FR-015</x:v>
      </x:c>
      <x:c r="C19" s="34" t="str">
        <x:v>Display all registered printers in a printer list.</x:v>
      </x:c>
      <x:c r="D19" s="34" t="str">
        <x:v>TS-REG-015</x:v>
      </x:c>
      <x:c r="E19" s="34" t="str">
        <x:v>TC-REG-018</x:v>
      </x:c>
      <x:c r="F19" s="46" t="str">
        <x:v>High</x:v>
      </x:c>
      <x:c r="G19" s="46" t="str">
        <x:v>Covered</x:v>
      </x:c>
      <x:c r="H19" s="46" t="str">
        <x:v>Not Executed</x:v>
      </x:c>
      <x:c r="I19" s="34" t="str"/>
      <x:c r="J19" s="35" t="str"/>
    </x:row>
    <x:row r="20" ht="60" customHeight="1">
      <x:c r="A20" s="41" t="str">
        <x:v>BR-005</x:v>
      </x:c>
      <x:c r="B20" s="42" t="str">
        <x:v>FR-016</x:v>
      </x:c>
      <x:c r="C20" s="34" t="str">
        <x:v>Display key printer information in the printer list.</x:v>
      </x:c>
      <x:c r="D20" s="34" t="str">
        <x:v>TS-REG-015</x:v>
      </x:c>
      <x:c r="E20" s="34" t="str">
        <x:v>TC-REG-018</x:v>
      </x:c>
      <x:c r="F20" s="46" t="str">
        <x:v>High</x:v>
      </x:c>
      <x:c r="G20" s="46" t="str">
        <x:v>Covered</x:v>
      </x:c>
      <x:c r="H20" s="46" t="str">
        <x:v>Not Executed</x:v>
      </x:c>
      <x:c r="I20" s="34" t="str"/>
      <x:c r="J20" s="35" t="str"/>
    </x:row>
    <x:row r="21" ht="60" customHeight="1">
      <x:c r="A21" s="41" t="str">
        <x:v>BR-004, BR-009</x:v>
      </x:c>
      <x:c r="B21" s="42" t="str">
        <x:v>FR-017</x:v>
      </x:c>
      <x:c r="C21" s="34" t="str">
        <x:v>Allow an Administrator to update existing printer information.</x:v>
      </x:c>
      <x:c r="D21" s="34" t="str"/>
      <x:c r="E21" s="34" t="str"/>
      <x:c r="F21" s="46" t="str">
        <x:v>High</x:v>
      </x:c>
      <x:c r="G21" s="46" t="str">
        <x:v>Not Covered</x:v>
      </x:c>
      <x:c r="H21" s="46" t="str">
        <x:v>Not Applicable</x:v>
      </x:c>
      <x:c r="I21" s="34" t="str"/>
      <x:c r="J21" s="35" t="str">
        <x:v>Add positive update test coverage.</x:v>
      </x:c>
    </x:row>
    <x:row r="22" ht="60" customHeight="1">
      <x:c r="A22" s="41" t="str">
        <x:v>BR-002, BR-003</x:v>
      </x:c>
      <x:c r="B22" s="42" t="str">
        <x:v>FR-018</x:v>
      </x:c>
      <x:c r="C22" s="34" t="str">
        <x:v>Apply registration validation rules when printer information is updated.</x:v>
      </x:c>
      <x:c r="D22" s="34" t="str"/>
      <x:c r="E22" s="34" t="str"/>
      <x:c r="F22" s="46" t="str">
        <x:v>High</x:v>
      </x:c>
      <x:c r="G22" s="46" t="str">
        <x:v>Not Covered</x:v>
      </x:c>
      <x:c r="H22" s="46" t="str">
        <x:v>Not Applicable</x:v>
      </x:c>
      <x:c r="I22" s="34" t="str"/>
      <x:c r="J22" s="35" t="str">
        <x:v>Add negative and duplicate validation coverage for editing.</x:v>
      </x:c>
    </x:row>
    <x:row r="23" ht="60" customHeight="1">
      <x:c r="A23" s="41" t="str">
        <x:v>BR-004, BR-009</x:v>
      </x:c>
      <x:c r="B23" s="42" t="str">
        <x:v>FR-019</x:v>
      </x:c>
      <x:c r="C23" s="34" t="str">
        <x:v>Allow an Administrator to delete a printer after confirmation.</x:v>
      </x:c>
      <x:c r="D23" s="34" t="str"/>
      <x:c r="E23" s="34" t="str"/>
      <x:c r="F23" s="46" t="str">
        <x:v>Medium</x:v>
      </x:c>
      <x:c r="G23" s="46" t="str">
        <x:v>Not Covered</x:v>
      </x:c>
      <x:c r="H23" s="46" t="str">
        <x:v>Not Applicable</x:v>
      </x:c>
      <x:c r="I23" s="34" t="str"/>
      <x:c r="J23" s="35" t="str">
        <x:v>Add printer deletion test coverage.</x:v>
      </x:c>
    </x:row>
    <x:row r="24" ht="60" customHeight="1">
      <x:c r="A24" s="41" t="str">
        <x:v>BR-010</x:v>
      </x:c>
      <x:c r="B24" s="42" t="str">
        <x:v>FR-020</x:v>
      </x:c>
      <x:c r="C24" s="34" t="str">
        <x:v>Display a confirmation prompt before deleting a printer.</x:v>
      </x:c>
      <x:c r="D24" s="34" t="str"/>
      <x:c r="E24" s="34" t="str"/>
      <x:c r="F24" s="46" t="str">
        <x:v>Medium</x:v>
      </x:c>
      <x:c r="G24" s="46" t="str">
        <x:v>Not Covered</x:v>
      </x:c>
      <x:c r="H24" s="46" t="str">
        <x:v>Not Applicable</x:v>
      </x:c>
      <x:c r="I24" s="34" t="str"/>
      <x:c r="J24" s="35" t="str">
        <x:v>Add confirmation and cancellation coverage.</x:v>
      </x:c>
    </x:row>
    <x:row r="25" ht="60" customHeight="1">
      <x:c r="A25" s="41" t="str">
        <x:v>BR-009</x:v>
      </x:c>
      <x:c r="B25" s="42" t="str">
        <x:v>FR-021</x:v>
      </x:c>
      <x:c r="C25" s="34" t="str">
        <x:v>Prevent a Standard User from registering, updating or deleting printers.</x:v>
      </x:c>
      <x:c r="D25" s="34" t="str">
        <x:v>TS-REG-016</x:v>
      </x:c>
      <x:c r="E25" s="34" t="str">
        <x:v>TC-REG-002</x:v>
      </x:c>
      <x:c r="F25" s="46" t="str">
        <x:v>High</x:v>
      </x:c>
      <x:c r="G25" s="46" t="str">
        <x:v>Covered</x:v>
      </x:c>
      <x:c r="H25" s="46" t="str">
        <x:v>Not Executed</x:v>
      </x:c>
      <x:c r="I25" s="34" t="str"/>
      <x:c r="J25" s="35" t="str">
        <x:v>Current test covers registration access; update/delete should be added with FR-017 to FR-020.</x:v>
      </x:c>
    </x:row>
    <x:row r="26" ht="60" customHeight="1">
      <x:c r="A26" s="41" t="str">
        <x:v>BR-005</x:v>
      </x:c>
      <x:c r="B26" s="42" t="str">
        <x:v>FR-022</x:v>
      </x:c>
      <x:c r="C26" s="34" t="str">
        <x:v>Display the latest status of every registered printer.</x:v>
      </x:c>
      <x:c r="D26" s="34" t="str">
        <x:v>TS-STS-001</x:v>
      </x:c>
      <x:c r="E26" s="34" t="str">
        <x:v>TC-STS-001</x:v>
      </x:c>
      <x:c r="F26" s="46" t="str">
        <x:v>High</x:v>
      </x:c>
      <x:c r="G26" s="46" t="str">
        <x:v>Covered</x:v>
      </x:c>
      <x:c r="H26" s="46" t="str">
        <x:v>Not Executed</x:v>
      </x:c>
      <x:c r="I26" s="34" t="str"/>
      <x:c r="J26" s="35" t="str"/>
    </x:row>
    <x:row r="27" ht="60" customHeight="1">
      <x:c r="A27" s="41" t="str">
        <x:v>BR-004, BR-006</x:v>
      </x:c>
      <x:c r="B27" s="42" t="str">
        <x:v>FR-023</x:v>
      </x:c>
      <x:c r="C27" s="34" t="str">
        <x:v>Allow an Administrator to update a printer status.</x:v>
      </x:c>
      <x:c r="D27" s="34" t="str">
        <x:v>TS-STS-002, TS-STS-004</x:v>
      </x:c>
      <x:c r="E27" s="34" t="str">
        <x:v>TC-STS-002, TC-STS-003</x:v>
      </x:c>
      <x:c r="F27" s="46" t="str">
        <x:v>High</x:v>
      </x:c>
      <x:c r="G27" s="46" t="str">
        <x:v>Covered</x:v>
      </x:c>
      <x:c r="H27" s="46" t="str">
        <x:v>Not Executed</x:v>
      </x:c>
      <x:c r="I27" s="34" t="str"/>
      <x:c r="J27" s="35" t="str"/>
    </x:row>
    <x:row r="28" ht="60" customHeight="1">
      <x:c r="A28" s="41" t="str">
        <x:v>BR-006</x:v>
      </x:c>
      <x:c r="B28" s="42" t="str">
        <x:v>FR-024</x:v>
      </x:c>
      <x:c r="C28" s="34" t="str">
        <x:v>Provide Online, Offline, Busy, Maintenance and Error statuses.</x:v>
      </x:c>
      <x:c r="D28" s="34" t="str">
        <x:v>TS-STS-003, TS-STS-004</x:v>
      </x:c>
      <x:c r="E28" s="34" t="str">
        <x:v>TC-STS-003</x:v>
      </x:c>
      <x:c r="F28" s="46" t="str">
        <x:v>High</x:v>
      </x:c>
      <x:c r="G28" s="46" t="str">
        <x:v>Covered</x:v>
      </x:c>
      <x:c r="H28" s="46" t="str">
        <x:v>Not Executed</x:v>
      </x:c>
      <x:c r="I28" s="34" t="str"/>
      <x:c r="J28" s="35" t="str"/>
    </x:row>
    <x:row r="29" ht="60" customHeight="1">
      <x:c r="A29" s="41" t="str">
        <x:v>BR-006</x:v>
      </x:c>
      <x:c r="B29" s="42" t="str">
        <x:v>FR-025</x:v>
      </x:c>
      <x:c r="C29" s="34" t="str">
        <x:v>Prevent Maintenance status from transitioning directly to Busy.</x:v>
      </x:c>
      <x:c r="D29" s="34" t="str">
        <x:v>TS-STS-005</x:v>
      </x:c>
      <x:c r="E29" s="34" t="str">
        <x:v>TC-STS-004, TC-STS-007</x:v>
      </x:c>
      <x:c r="F29" s="46" t="str">
        <x:v>High</x:v>
      </x:c>
      <x:c r="G29" s="46" t="str">
        <x:v>Covered</x:v>
      </x:c>
      <x:c r="H29" s="46" t="str">
        <x:v>Not Executed</x:v>
      </x:c>
      <x:c r="I29" s="34" t="str"/>
      <x:c r="J29" s="35" t="str"/>
    </x:row>
    <x:row r="30" ht="60" customHeight="1">
      <x:c r="A30" s="41" t="str">
        <x:v>BR-006, BR-010</x:v>
      </x:c>
      <x:c r="B30" s="42" t="str">
        <x:v>FR-026</x:v>
      </x:c>
      <x:c r="C30" s="34" t="str">
        <x:v>Display an error message after an invalid status transition.</x:v>
      </x:c>
      <x:c r="D30" s="34" t="str">
        <x:v>TS-STS-006</x:v>
      </x:c>
      <x:c r="E30" s="34" t="str">
        <x:v>TC-STS-004</x:v>
      </x:c>
      <x:c r="F30" s="46" t="str">
        <x:v>High</x:v>
      </x:c>
      <x:c r="G30" s="46" t="str">
        <x:v>Covered</x:v>
      </x:c>
      <x:c r="H30" s="46" t="str">
        <x:v>Not Executed</x:v>
      </x:c>
      <x:c r="I30" s="34" t="str"/>
      <x:c r="J30" s="35" t="str"/>
    </x:row>
    <x:row r="31" ht="60" customHeight="1">
      <x:c r="A31" s="41" t="str">
        <x:v>BR-005</x:v>
      </x:c>
      <x:c r="B31" s="42" t="str">
        <x:v>FR-027</x:v>
      </x:c>
      <x:c r="C31" s="34" t="str">
        <x:v>Display an updated status immediately after a successful change.</x:v>
      </x:c>
      <x:c r="D31" s="34" t="str">
        <x:v>TS-STS-007</x:v>
      </x:c>
      <x:c r="E31" s="34" t="str">
        <x:v>TC-STS-002</x:v>
      </x:c>
      <x:c r="F31" s="46" t="str">
        <x:v>High</x:v>
      </x:c>
      <x:c r="G31" s="46" t="str">
        <x:v>Covered</x:v>
      </x:c>
      <x:c r="H31" s="46" t="str">
        <x:v>Not Executed</x:v>
      </x:c>
      <x:c r="I31" s="34" t="str"/>
      <x:c r="J31" s="35" t="str"/>
    </x:row>
    <x:row r="32" ht="60" customHeight="1">
      <x:c r="A32" s="41" t="str">
        <x:v>BR-007</x:v>
      </x:c>
      <x:c r="B32" s="42" t="str">
        <x:v>FR-028</x:v>
      </x:c>
      <x:c r="C32" s="34" t="str">
        <x:v>Record the previous status, new status, user and timestamp after every successful status change.</x:v>
      </x:c>
      <x:c r="D32" s="34" t="str">
        <x:v>TS-STS-008, TS-STS-009</x:v>
      </x:c>
      <x:c r="E32" s="34" t="str">
        <x:v>TC-STS-005, TC-STS-006, TC-STS-007</x:v>
      </x:c>
      <x:c r="F32" s="46" t="str">
        <x:v>High</x:v>
      </x:c>
      <x:c r="G32" s="46" t="str">
        <x:v>Covered</x:v>
      </x:c>
      <x:c r="H32" s="46" t="str">
        <x:v>Not Executed</x:v>
      </x:c>
      <x:c r="I32" s="34" t="str"/>
      <x:c r="J32" s="35" t="str"/>
    </x:row>
    <x:row r="33" ht="60" customHeight="1">
      <x:c r="A33" s="41" t="str">
        <x:v>BR-007</x:v>
      </x:c>
      <x:c r="B33" s="42" t="str">
        <x:v>FR-029</x:v>
      </x:c>
      <x:c r="C33" s="34" t="str">
        <x:v>Allow users to view a printer's status-change history.</x:v>
      </x:c>
      <x:c r="D33" s="34" t="str">
        <x:v>TS-STS-010</x:v>
      </x:c>
      <x:c r="E33" s="34" t="str">
        <x:v>TC-STS-005, TC-STS-006</x:v>
      </x:c>
      <x:c r="F33" s="46" t="str">
        <x:v>Medium</x:v>
      </x:c>
      <x:c r="G33" s="46" t="str">
        <x:v>Covered</x:v>
      </x:c>
      <x:c r="H33" s="46" t="str">
        <x:v>Not Executed</x:v>
      </x:c>
      <x:c r="I33" s="34" t="str"/>
      <x:c r="J33" s="35" t="str"/>
    </x:row>
    <x:row r="34" ht="60" customHeight="1">
      <x:c r="A34" s="41" t="str">
        <x:v>BR-009</x:v>
      </x:c>
      <x:c r="B34" s="42" t="str">
        <x:v>FR-030</x:v>
      </x:c>
      <x:c r="C34" s="34" t="str">
        <x:v>Prevent a Standard User from changing printer statuses.</x:v>
      </x:c>
      <x:c r="D34" s="34" t="str">
        <x:v>TS-STS-011</x:v>
      </x:c>
      <x:c r="E34" s="34" t="str">
        <x:v>TC-STS-008</x:v>
      </x:c>
      <x:c r="F34" s="46" t="str">
        <x:v>High</x:v>
      </x:c>
      <x:c r="G34" s="46" t="str">
        <x:v>Covered</x:v>
      </x:c>
      <x:c r="H34" s="46" t="str">
        <x:v>Not Executed</x:v>
      </x:c>
      <x:c r="I34" s="34" t="str"/>
      <x:c r="J34" s="35" t="str"/>
    </x:row>
    <x:row r="35" ht="60" customHeight="1">
      <x:c r="A35" s="41" t="str">
        <x:v>BR-008</x:v>
      </x:c>
      <x:c r="B35" s="42" t="str">
        <x:v>FR-031</x:v>
      </x:c>
      <x:c r="C35" s="34" t="str">
        <x:v>Allow searching by Printer Name, Model, Serial Number or IP Address.</x:v>
      </x:c>
      <x:c r="D35" s="34" t="str">
        <x:v>TS-SRH-001</x:v>
      </x:c>
      <x:c r="E35" s="34" t="str">
        <x:v>TC-SRH-001, TC-SRH-002</x:v>
      </x:c>
      <x:c r="F35" s="46" t="str">
        <x:v>Medium</x:v>
      </x:c>
      <x:c r="G35" s="46" t="str">
        <x:v>Covered</x:v>
      </x:c>
      <x:c r="H35" s="46" t="str">
        <x:v>Not Executed</x:v>
      </x:c>
      <x:c r="I35" s="34" t="str"/>
      <x:c r="J35" s="35" t="str">
        <x:v>Model and IP-specific cases can be added during regression expansion.</x:v>
      </x:c>
    </x:row>
    <x:row r="36" ht="60" customHeight="1">
      <x:c r="A36" s="41" t="str">
        <x:v>BR-008</x:v>
      </x:c>
      <x:c r="B36" s="42" t="str">
        <x:v>FR-032</x:v>
      </x:c>
      <x:c r="C36" s="34" t="str">
        <x:v>Display printers matching the entered search value.</x:v>
      </x:c>
      <x:c r="D36" s="34" t="str">
        <x:v>TS-SRH-001</x:v>
      </x:c>
      <x:c r="E36" s="34" t="str">
        <x:v>TC-SRH-001, TC-SRH-002</x:v>
      </x:c>
      <x:c r="F36" s="46" t="str">
        <x:v>Medium</x:v>
      </x:c>
      <x:c r="G36" s="46" t="str">
        <x:v>Covered</x:v>
      </x:c>
      <x:c r="H36" s="46" t="str">
        <x:v>Not Executed</x:v>
      </x:c>
      <x:c r="I36" s="34" t="str"/>
      <x:c r="J36" s="35" t="str"/>
    </x:row>
    <x:row r="37" ht="60" customHeight="1">
      <x:c r="A37" s="41" t="str">
        <x:v>BR-008, BR-010</x:v>
      </x:c>
      <x:c r="B37" s="42" t="str">
        <x:v>FR-033</x:v>
      </x:c>
      <x:c r="C37" s="34" t="str">
        <x:v>Display an appropriate message when no matching printer is found.</x:v>
      </x:c>
      <x:c r="D37" s="34" t="str">
        <x:v>TS-SRH-002</x:v>
      </x:c>
      <x:c r="E37" s="34" t="str">
        <x:v>TC-SRH-003</x:v>
      </x:c>
      <x:c r="F37" s="46" t="str">
        <x:v>Medium</x:v>
      </x:c>
      <x:c r="G37" s="46" t="str">
        <x:v>Covered</x:v>
      </x:c>
      <x:c r="H37" s="46" t="str">
        <x:v>Not Executed</x:v>
      </x:c>
      <x:c r="I37" s="34" t="str"/>
      <x:c r="J37" s="35" t="str"/>
    </x:row>
    <x:row r="38" ht="60" customHeight="1">
      <x:c r="A38" s="41" t="str">
        <x:v>BR-008</x:v>
      </x:c>
      <x:c r="B38" s="42" t="str">
        <x:v>FR-034</x:v>
      </x:c>
      <x:c r="C38" s="34" t="str">
        <x:v>Allow users to filter printers by Status.</x:v>
      </x:c>
      <x:c r="D38" s="34" t="str">
        <x:v>TS-SRH-003</x:v>
      </x:c>
      <x:c r="E38" s="34" t="str">
        <x:v>TC-SRH-004</x:v>
      </x:c>
      <x:c r="F38" s="46" t="str">
        <x:v>Medium</x:v>
      </x:c>
      <x:c r="G38" s="46" t="str">
        <x:v>Covered</x:v>
      </x:c>
      <x:c r="H38" s="46" t="str">
        <x:v>Not Executed</x:v>
      </x:c>
      <x:c r="I38" s="34" t="str"/>
      <x:c r="J38" s="35" t="str"/>
    </x:row>
    <x:row r="39" ht="60" customHeight="1">
      <x:c r="A39" s="41" t="str">
        <x:v>BR-008</x:v>
      </x:c>
      <x:c r="B39" s="42" t="str">
        <x:v>FR-035</x:v>
      </x:c>
      <x:c r="C39" s="34" t="str">
        <x:v>Allow users to filter printers by Connection Type.</x:v>
      </x:c>
      <x:c r="D39" s="34" t="str">
        <x:v>TS-SRH-004</x:v>
      </x:c>
      <x:c r="E39" s="34" t="str">
        <x:v>TC-SRH-005</x:v>
      </x:c>
      <x:c r="F39" s="46" t="str">
        <x:v>Medium</x:v>
      </x:c>
      <x:c r="G39" s="46" t="str">
        <x:v>Covered</x:v>
      </x:c>
      <x:c r="H39" s="46" t="str">
        <x:v>Not Executed</x:v>
      </x:c>
      <x:c r="I39" s="34" t="str"/>
      <x:c r="J39" s="35" t="str"/>
    </x:row>
    <x:row r="40" ht="60" customHeight="1">
      <x:c r="A40" s="41" t="str">
        <x:v>BR-008</x:v>
      </x:c>
      <x:c r="B40" s="42" t="str">
        <x:v>FR-036</x:v>
      </x:c>
      <x:c r="C40" s="34" t="str">
        <x:v>Allow users to clear applied searches and filters.</x:v>
      </x:c>
      <x:c r="D40" s="34" t="str">
        <x:v>TS-SRH-005</x:v>
      </x:c>
      <x:c r="E40" s="34" t="str">
        <x:v>TC-SRH-006</x:v>
      </x:c>
      <x:c r="F40" s="46" t="str">
        <x:v>Low</x:v>
      </x:c>
      <x:c r="G40" s="46" t="str">
        <x:v>Covered</x:v>
      </x:c>
      <x:c r="H40" s="46" t="str">
        <x:v>Not Executed</x:v>
      </x:c>
      <x:c r="I40" s="34" t="str"/>
      <x:c r="J40" s="35" t="str"/>
    </x:row>
    <x:row r="41" ht="60" customHeight="1">
      <x:c r="A41" s="41" t="str">
        <x:v>BR-010</x:v>
      </x:c>
      <x:c r="B41" s="42" t="str">
        <x:v>FR-037</x:v>
      </x:c>
      <x:c r="C41" s="34" t="str">
        <x:v>Display a clear message after every successful or unsuccessful operation.</x:v>
      </x:c>
      <x:c r="D41" s="34" t="str">
        <x:v>TS-REG-006, TS-REG-014, TS-STS-006, TS-SRH-002</x:v>
      </x:c>
      <x:c r="E41" s="34" t="str">
        <x:v>TC-REG-009, TC-REG-017, TC-STS-004, TC-SRH-003</x:v>
      </x:c>
      <x:c r="F41" s="46" t="str">
        <x:v>Medium</x:v>
      </x:c>
      <x:c r="G41" s="46" t="str">
        <x:v>Partial</x:v>
      </x:c>
      <x:c r="H41" s="46" t="str">
        <x:v>Not Executed</x:v>
      </x:c>
      <x:c r="I41" s="34" t="str"/>
      <x:c r="J41" s="35" t="str">
        <x:v>Representative operations are covered; update and deletion feedback remain uncovered.</x:v>
      </x:c>
    </x:row>
    <x:row r="42" ht="60" customHeight="1">
      <x:c r="A42" s="41" t="str">
        <x:v>BR-010</x:v>
      </x:c>
      <x:c r="B42" s="42" t="str">
        <x:v>FR-038</x:v>
      </x:c>
      <x:c r="C42" s="34" t="str">
        <x:v>Preserve valid submitted values when another field fails validation.</x:v>
      </x:c>
      <x:c r="D42" s="34" t="str">
        <x:v>TS-REG-006</x:v>
      </x:c>
      <x:c r="E42" s="34" t="str">
        <x:v>TC-REG-019</x:v>
      </x:c>
      <x:c r="F42" s="46" t="str">
        <x:v>Medium</x:v>
      </x:c>
      <x:c r="G42" s="46" t="str">
        <x:v>Covered</x:v>
      </x:c>
      <x:c r="H42" s="46" t="str">
        <x:v>Not Executed</x:v>
      </x:c>
      <x:c r="I42" s="34" t="str"/>
      <x:c r="J42" s="35" t="str"/>
    </x:row>
    <x:row r="43" ht="60" customHeight="1">
      <x:c r="A43" s="41" t="str">
        <x:v>BR-009</x:v>
      </x:c>
      <x:c r="B43" s="42" t="str">
        <x:v>FR-039</x:v>
      </x:c>
      <x:c r="C43" s="34" t="str">
        <x:v>Prevent unauthorized direct access to restricted management pages.</x:v>
      </x:c>
      <x:c r="D43" s="34" t="str">
        <x:v>TS-REG-016, TS-STS-011</x:v>
      </x:c>
      <x:c r="E43" s="34" t="str">
        <x:v>TC-REG-002, TC-STS-008</x:v>
      </x:c>
      <x:c r="F43" s="46" t="str">
        <x:v>High</x:v>
      </x:c>
      <x:c r="G43" s="46" t="str">
        <x:v>Covered</x:v>
      </x:c>
      <x:c r="H43" s="46" t="str">
        <x:v>Not Executed</x:v>
      </x:c>
      <x:c r="I43" s="34" t="str"/>
      <x:c r="J43" s="35" t="str"/>
    </x:row>
    <x:row r="44" ht="60" customHeight="1">
      <x:c r="A44" s="43" t="str">
        <x:v>BR-007</x:v>
      </x:c>
      <x:c r="B44" s="44" t="str">
        <x:v>FR-040</x:v>
      </x:c>
      <x:c r="C44" s="37" t="str">
        <x:v>Display dates and times using a consistent format throughout the module.</x:v>
      </x:c>
      <x:c r="D44" s="37" t="str"/>
      <x:c r="E44" s="37" t="str"/>
      <x:c r="F44" s="47" t="str">
        <x:v>Low</x:v>
      </x:c>
      <x:c r="G44" s="47" t="str">
        <x:v>Not Covered</x:v>
      </x:c>
      <x:c r="H44" s="47" t="str">
        <x:v>Not Applicable</x:v>
      </x:c>
      <x:c r="I44" s="37" t="str"/>
      <x:c r="J44" s="38" t="str">
        <x:v>Add timestamp format and timezone display coverage.</x:v>
      </x:c>
    </x:row>
  </x:sheetData>
  <x:mergeCells>
    <x:mergeCell ref="A1:J1"/>
    <x:mergeCell ref="A2:J2"/>
  </x:mergeCells>
  <x:conditionalFormatting sqref="G5:G44">
    <x:cfRule type="containsText" dxfId="0" priority="1" operator="containsText" text="Covered"/>
    <x:cfRule type="containsText" dxfId="1" priority="2" operator="containsText" text="Partial"/>
    <x:cfRule type="containsText" dxfId="2" priority="3" operator="containsText" text="Not Covered"/>
  </x:conditionalFormatting>
  <x:dataValidations count="3">
    <x:dataValidation type="list" sqref="F5:F44">
      <x:formula1>"High,Medium,Low"</x:formula1>
    </x:dataValidation>
    <x:dataValidation type="list" sqref="G5:G44">
      <x:formula1>"Covered,Partial,Not Covered"</x:formula1>
    </x:dataValidation>
    <x:dataValidation type="list" sqref="H5:H44">
      <x:formula1>"Not Executed,Pass,Fail,Blocked,Not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d7ff5c14df4a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14" hidden="0" customWidth="1"/>
    <x:col min="4" max="4" width="20" hidden="0" customWidth="1"/>
    <x:col min="5" max="5" width="56" hidden="0" customWidth="1"/>
    <x:col min="6" max="6" width="18" hidden="0" customWidth="1"/>
  </x:cols>
  <x:sheetData>
    <x:row r="1" ht="30" customHeight="1">
      <x:c r="A1" s="3" t="str">
        <x:v>PrintFlow – Coverage Gaps and Actions</x:v>
      </x:c>
      <x:c r="B1" s="3" t="str">
        <x:v>PrintFlow – Coverage Gaps and Actions</x:v>
      </x:c>
      <x:c r="C1" s="3" t="str">
        <x:v>PrintFlow – Coverage Gaps and Actions</x:v>
      </x:c>
      <x:c r="D1" s="3" t="str">
        <x:v>PrintFlow – Coverage Gaps and Actions</x:v>
      </x:c>
      <x:c r="E1" s="3" t="str">
        <x:v>PrintFlow – Coverage Gaps and Actions</x:v>
      </x:c>
      <x:c r="F1" s="3" t="str">
        <x:v>PrintFlow – Coverage Gaps and Actions</x:v>
      </x:c>
    </x:row>
    <x:row r="3" ht="34" customHeight="1">
      <x:c r="A3" s="11" t="str">
        <x:v>Requirement ID</x:v>
      </x:c>
      <x:c r="B3" s="11" t="str">
        <x:v>Requirement Description</x:v>
      </x:c>
      <x:c r="C3" s="11" t="str">
        <x:v>Priority</x:v>
      </x:c>
      <x:c r="D3" s="11" t="str">
        <x:v>Coverage Status</x:v>
      </x:c>
      <x:c r="E3" s="11" t="str">
        <x:v>Recommended Action</x:v>
      </x:c>
      <x:c r="F3" s="11" t="str">
        <x:v>Action Status</x:v>
      </x:c>
    </x:row>
    <x:row r="4" ht="58" customHeight="1">
      <x:c r="A4" s="30" t="str">
        <x:v>FR-017</x:v>
      </x:c>
      <x:c r="B4" s="31" t="str">
        <x:v>Allow an Administrator to update existing printer information.</x:v>
      </x:c>
      <x:c r="C4" s="31" t="str">
        <x:v>High</x:v>
      </x:c>
      <x:c r="D4" s="31" t="str">
        <x:v>Not Covered</x:v>
      </x:c>
      <x:c r="E4" s="31" t="str">
        <x:v>Add positive update test coverage.</x:v>
      </x:c>
      <x:c r="F4" s="32" t="str">
        <x:v>Open</x:v>
      </x:c>
    </x:row>
    <x:row r="5" ht="58" customHeight="1">
      <x:c r="A5" s="33" t="str">
        <x:v>FR-018</x:v>
      </x:c>
      <x:c r="B5" s="34" t="str">
        <x:v>Apply registration validation rules when printer information is updated.</x:v>
      </x:c>
      <x:c r="C5" s="34" t="str">
        <x:v>High</x:v>
      </x:c>
      <x:c r="D5" s="34" t="str">
        <x:v>Not Covered</x:v>
      </x:c>
      <x:c r="E5" s="34" t="str">
        <x:v>Add negative and duplicate validation coverage for editing.</x:v>
      </x:c>
      <x:c r="F5" s="35" t="str">
        <x:v>Open</x:v>
      </x:c>
    </x:row>
    <x:row r="6" ht="58" customHeight="1">
      <x:c r="A6" s="33" t="str">
        <x:v>FR-019</x:v>
      </x:c>
      <x:c r="B6" s="34" t="str">
        <x:v>Allow an Administrator to delete a printer after confirmation.</x:v>
      </x:c>
      <x:c r="C6" s="34" t="str">
        <x:v>Medium</x:v>
      </x:c>
      <x:c r="D6" s="34" t="str">
        <x:v>Not Covered</x:v>
      </x:c>
      <x:c r="E6" s="34" t="str">
        <x:v>Add printer deletion test coverage.</x:v>
      </x:c>
      <x:c r="F6" s="35" t="str">
        <x:v>Open</x:v>
      </x:c>
    </x:row>
    <x:row r="7" ht="58" customHeight="1">
      <x:c r="A7" s="33" t="str">
        <x:v>FR-020</x:v>
      </x:c>
      <x:c r="B7" s="34" t="str">
        <x:v>Display a confirmation prompt before deleting a printer.</x:v>
      </x:c>
      <x:c r="C7" s="34" t="str">
        <x:v>Medium</x:v>
      </x:c>
      <x:c r="D7" s="34" t="str">
        <x:v>Not Covered</x:v>
      </x:c>
      <x:c r="E7" s="34" t="str">
        <x:v>Add confirmation and cancellation coverage.</x:v>
      </x:c>
      <x:c r="F7" s="35" t="str">
        <x:v>Open</x:v>
      </x:c>
    </x:row>
    <x:row r="8" ht="58" customHeight="1">
      <x:c r="A8" s="33" t="str">
        <x:v>FR-037</x:v>
      </x:c>
      <x:c r="B8" s="34" t="str">
        <x:v>Display a clear message after every successful or unsuccessful operation.</x:v>
      </x:c>
      <x:c r="C8" s="34" t="str">
        <x:v>Medium</x:v>
      </x:c>
      <x:c r="D8" s="34" t="str">
        <x:v>Partial</x:v>
      </x:c>
      <x:c r="E8" s="34" t="str">
        <x:v>Representative operations are covered; update and deletion feedback remain uncovered.</x:v>
      </x:c>
      <x:c r="F8" s="35" t="str">
        <x:v>Open</x:v>
      </x:c>
    </x:row>
    <x:row r="9" ht="58" customHeight="1">
      <x:c r="A9" s="36" t="str">
        <x:v>FR-040</x:v>
      </x:c>
      <x:c r="B9" s="37" t="str">
        <x:v>Display dates and times using a consistent format throughout the module.</x:v>
      </x:c>
      <x:c r="C9" s="37" t="str">
        <x:v>Low</x:v>
      </x:c>
      <x:c r="D9" s="37" t="str">
        <x:v>Not Covered</x:v>
      </x:c>
      <x:c r="E9" s="37" t="str">
        <x:v>Add timestamp format and timezone display coverage.</x:v>
      </x:c>
      <x:c r="F9" s="38" t="str">
        <x:v>Open</x:v>
      </x:c>
    </x:row>
  </x:sheetData>
  <x:mergeCells>
    <x:mergeCell ref="A1:F1"/>
  </x:mergeCells>
  <x:conditionalFormatting sqref="D4:D9">
    <x:cfRule type="containsText" dxfId="3" priority="1" operator="containsText" text="Partial"/>
    <x:cfRule type="containsText" dxfId="4" priority="2" operator="containsText" text="Not Covered"/>
  </x:conditionalFormatting>
  <x:dataValidations count="1">
    <x:dataValidation type="list" sqref="F4:F9">
      <x:formula1>"Open,In Progress,Resolved,Accepted"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49bcb6a3c7403f"/>
  </x:tableParts>
</x:worksheet>
</file>
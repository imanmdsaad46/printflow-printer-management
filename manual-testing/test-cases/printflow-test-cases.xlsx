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870dcf062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cd418b5fa84694"/>
    <x:sheet xmlns:r="http://schemas.openxmlformats.org/officeDocument/2006/relationships" name="Test Cases" sheetId="2" r:id="R3f9f661754bb4179"/>
    <x:sheet xmlns:r="http://schemas.openxmlformats.org/officeDocument/2006/relationships" name="Test Data" sheetId="3" r:id="Rdb36678403bc4427"/>
    <x:sheet xmlns:r="http://schemas.openxmlformats.org/officeDocument/2006/relationships" name="Status Transitions" sheetId="4" r:id="R942d440f1831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  <x:fill>
      <x:patternFill patternType="solid">
        <x:fgColor rgb="FFF3F6F8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right style="thin">
        <x:color rgb="FFC9D3DD"/>
      </x:right>
      <x:bottom style="thin">
        <x:color rgb="FFC9D3DD"/>
      </x:bottom>
    </x:border>
    <x:border>
      <x:left style="thin">
        <x:color rgb="FFC9D3DD"/>
      </x:left>
      <x:right style="thin">
        <x:color rgb="FFC9D3DD"/>
      </x:right>
      <x:bottom style="thin">
        <x:color rgb="FFC9D3DD"/>
      </x:bottom>
    </x:border>
    <x:border>
      <x:left style="thin">
        <x:color rgb="FFC9D3DD"/>
      </x:left>
      <x:bottom style="thin">
        <x:color rgb="FFC9D3DD"/>
      </x:bottom>
    </x:border>
    <x:border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C9D3DD"/>
      </x:left>
      <x:top style="thin">
        <x:color rgb="FFC9D3DD"/>
      </x:top>
      <x:bottom style="thin">
        <x:color rgb="FFC9D3DD"/>
      </x:bottom>
    </x:border>
    <x:border>
      <x:right style="thin">
        <x:color rgb="FFC9D3DD"/>
      </x:right>
      <x:top style="thin">
        <x:color rgb="FFC9D3DD"/>
      </x:top>
    </x:border>
    <x:border>
      <x:left style="thin">
        <x:color rgb="FFC9D3DD"/>
      </x:left>
      <x:right style="thin">
        <x:color rgb="FFC9D3DD"/>
      </x:right>
      <x:top style="thin">
        <x:color rgb="FFC9D3DD"/>
      </x:top>
    </x:border>
    <x:border>
      <x:left style="thin">
        <x:color rgb="FFC9D3DD"/>
      </x:left>
      <x:top style="thin">
        <x:color rgb="FFC9D3DD"/>
      </x:top>
    </x:border>
    <x:border>
      <x:top style="thin">
        <x:color rgb="FFC9D3DD"/>
      </x:top>
    </x:border>
    <x:border>
      <x:left style="thin">
        <x:color rgb="FFC9D3DD"/>
      </x:left>
    </x:border>
    <x:border>
      <x:right style="thin">
        <x:color rgb="FFC9D3DD"/>
      </x:right>
    </x:border>
    <x:border>
      <x:bottom style="thin">
        <x:color rgb="FFC9D3DD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7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4" xfId="0" applyNumberFormat="1" applyFont="1" applyFill="1" applyBorder="1"/>
    <x:xf numFmtId="0" fontId="0" fillId="3" borderId="13" xfId="0" applyNumberFormat="1" applyFont="1" applyFill="1" applyBorder="1"/>
    <x:xf numFmtId="0" fontId="0" fillId="3" borderId="2" xfId="0" applyNumberFormat="1" applyFont="1" applyFill="1" applyBorder="1"/>
    <x:xf numFmtId="0" fontId="0" fillId="3" borderId="9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2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13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2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i/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e3ec9984e4fe6" /><Relationship Type="http://schemas.openxmlformats.org/officeDocument/2006/relationships/theme" Target="/xl/theme/theme1.xml" Id="Ra140cfb6b4b24f15" /><Relationship Type="http://schemas.openxmlformats.org/officeDocument/2006/relationships/sharedStrings" Target="/xl/sharedStrings.xml" Id="R62540c1a351a41ba" /><Relationship Type="http://schemas.openxmlformats.org/officeDocument/2006/relationships/worksheet" Target="/xl/worksheets/sheet1.xml" Id="R8dcd418b5fa84694" /><Relationship Type="http://schemas.openxmlformats.org/officeDocument/2006/relationships/worksheet" Target="/xl/worksheets/sheet2.xml" Id="R3f9f661754bb4179" /><Relationship Type="http://schemas.openxmlformats.org/officeDocument/2006/relationships/worksheet" Target="/xl/worksheets/sheet3.xml" Id="Rdb36678403bc4427" /><Relationship Type="http://schemas.openxmlformats.org/officeDocument/2006/relationships/worksheet" Target="/xl/worksheets/sheet4.xml" Id="R942d440f18314285" /></Relationships>
</file>

<file path=xl/tables/table1.xml><?xml version="1.0" encoding="utf-8"?>
<x:table xmlns:x="http://schemas.openxmlformats.org/spreadsheetml/2006/main" id="1" name="PrintFlowTestCases" displayName="PrintFlowTestCases" ref="A4:O37" headerRowCount="1" totalsRowCount="0" totalsRowShown="0">
  <x:tableColumns count="15">
    <x:tableColumn id="1" name="Test Case ID"/>
    <x:tableColumn id="2" name="Requirement ID"/>
    <x:tableColumn id="3" name="Scenario ID"/>
    <x:tableColumn id="4" name="Module"/>
    <x:tableColumn id="5" name="Test Case Title"/>
    <x:tableColumn id="6" name="Preconditions"/>
    <x:tableColumn id="7" name="Test Steps"/>
    <x:tableColumn id="8" name="Test Data ID"/>
    <x:tableColumn id="9" name="Expected Result"/>
    <x:tableColumn id="10" name="Priority"/>
    <x:tableColumn id="11" name="Test Type"/>
    <x:tableColumn id="12" name="Execution Status"/>
    <x:tableColumn id="13" name="Actual Result"/>
    <x:tableColumn id="14" name="Defect ID"/>
    <x:tableColumn id="15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ntFlowTestData" displayName="PrintFlowTestData" ref="A3:F27" headerRowCount="1" totalsRowCount="0" totalsRowShown="0">
  <x:tableColumns count="6">
    <x:tableColumn id="1" name="Test Data ID"/>
    <x:tableColumn id="2" name="Category"/>
    <x:tableColumn id="3" name="Data Name"/>
    <x:tableColumn id="4" name="Value / Record"/>
    <x:tableColumn id="5" name="Purpose"/>
    <x:tableColumn id="6" name="Class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8dd0a3235142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fe85684eae4e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1" hidden="0" customWidth="1"/>
    <x:col min="3" max="3" width="21" hidden="0" customWidth="1"/>
    <x:col min="4" max="4" width="28" hidden="0" customWidth="1"/>
    <x:col min="5" max="5" width="21" hidden="0" customWidth="1"/>
    <x:col min="6" max="6" width="22" hidden="0" customWidth="1"/>
  </x:cols>
  <x:sheetData>
    <x:row r="1" ht="30" customHeight="1">
      <x:c r="A1" s="4" t="str">
        <x:v>PrintFlow – Test Execution Summary</x:v>
      </x:c>
      <x:c r="B1" s="4" t="str">
        <x:v>PrintFlow – Test Execution Summary</x:v>
      </x:c>
      <x:c r="C1" s="4" t="str">
        <x:v>PrintFlow – Test Execution Summary</x:v>
      </x:c>
      <x:c r="D1" s="4" t="str">
        <x:v>PrintFlow – Test Execution Summary</x:v>
      </x:c>
      <x:c r="E1" s="4" t="str">
        <x:v>PrintFlow – Test Execution Summary</x:v>
      </x:c>
      <x:c r="F1" s="4" t="str">
        <x:v>PrintFlow – Test Execution Summary</x:v>
      </x:c>
    </x:row>
    <x:row r="3" ht="34" customHeight="1">
      <x:c r="A3" s="13" t="str">
        <x:v>Metric</x:v>
      </x:c>
      <x:c r="B3" s="13" t="str">
        <x:v>Count</x:v>
      </x:c>
      <x:c r="D3" s="13" t="str">
        <x:v>Document</x:v>
      </x:c>
      <x:c r="E3" s="13" t="str">
        <x:v>Version</x:v>
      </x:c>
      <x:c r="F3" s="13" t="str">
        <x:v>Status</x:v>
      </x:c>
    </x:row>
    <x:row r="4">
      <x:c r="A4" s="66" t="str">
        <x:v>Total Test Cases</x:v>
      </x:c>
      <x:c r="B4" s="72" t="n">
        <x:f>COUNTA('Test Cases'!$A$5:$A$37)</x:f>
        <x:v>33</x:v>
      </x:c>
      <x:c r="D4" s="60" t="str">
        <x:v>Business Requirements</x:v>
      </x:c>
      <x:c r="E4" s="75" t="str">
        <x:v>1.0</x:v>
      </x:c>
      <x:c r="F4" s="61" t="str">
        <x:v>Draft</x:v>
      </x:c>
    </x:row>
    <x:row r="5">
      <x:c r="A5" s="67" t="str">
        <x:v>Not Executed</x:v>
      </x:c>
      <x:c r="B5" s="73" t="n">
        <x:f>COUNTIF('Test Cases'!$L$5:$L$37,"Not Executed")</x:f>
        <x:v>33</x:v>
      </x:c>
      <x:c r="D5" s="62" t="str">
        <x:v>Functional Requirements</x:v>
      </x:c>
      <x:c r="E5" s="76" t="str">
        <x:v>1.0</x:v>
      </x:c>
      <x:c r="F5" s="63" t="str">
        <x:v>Draft</x:v>
      </x:c>
    </x:row>
    <x:row r="6">
      <x:c r="A6" s="67" t="str">
        <x:v>Pass</x:v>
      </x:c>
      <x:c r="B6" s="73" t="n">
        <x:f>COUNTIF('Test Cases'!$L$5:$L$37,"Pass")</x:f>
        <x:v>0</x:v>
      </x:c>
      <x:c r="D6" s="62" t="str">
        <x:v>Test Plan</x:v>
      </x:c>
      <x:c r="E6" s="76" t="str">
        <x:v>1.0</x:v>
      </x:c>
      <x:c r="F6" s="63" t="str">
        <x:v>Draft</x:v>
      </x:c>
    </x:row>
    <x:row r="7">
      <x:c r="A7" s="67" t="str">
        <x:v>Fail</x:v>
      </x:c>
      <x:c r="B7" s="73" t="n">
        <x:f>COUNTIF('Test Cases'!$L$5:$L$37,"Fail")</x:f>
        <x:v>0</x:v>
      </x:c>
      <x:c r="D7" s="64" t="str">
        <x:v>Detailed Test Cases</x:v>
      </x:c>
      <x:c r="E7" s="77" t="str">
        <x:v>1.0</x:v>
      </x:c>
      <x:c r="F7" s="65" t="str">
        <x:v>Ready for Execution</x:v>
      </x:c>
    </x:row>
    <x:row r="8">
      <x:c r="A8" s="67" t="str">
        <x:v>Blocked</x:v>
      </x:c>
      <x:c r="B8" s="73" t="n">
        <x:f>COUNTIF('Test Cases'!$L$5:$L$37,"Blocked")</x:f>
        <x:v>0</x:v>
      </x:c>
    </x:row>
    <x:row r="9">
      <x:c r="A9" s="67" t="str">
        <x:v>High Priority</x:v>
      </x:c>
      <x:c r="B9" s="73" t="n">
        <x:f>COUNTIF('Test Cases'!$J$5:$J$37,"High")</x:f>
        <x:v>22</x:v>
      </x:c>
      <x:c r="D9" s="9" t="str">
        <x:v>Execution note</x:v>
      </x:c>
      <x:c r="E9" s="9"/>
      <x:c r="F9" s="9"/>
    </x:row>
    <x:row r="10">
      <x:c r="A10" s="67" t="str">
        <x:v>Medium Priority</x:v>
      </x:c>
      <x:c r="B10" s="73" t="n">
        <x:f>COUNTIF('Test Cases'!$J$5:$J$37,"Medium")</x:f>
        <x:v>10</x:v>
      </x:c>
      <x:c r="D10" s="95" t="str">
        <x:v>Update Execution Status, Actual Result, Defect ID and Evidence in the Test Cases sheet during execution. Summary counts update automatically.</x:v>
      </x:c>
      <x:c r="E10" s="96"/>
      <x:c r="F10" s="97"/>
    </x:row>
    <x:row r="11">
      <x:c r="A11" s="68" t="str">
        <x:v>Low Priority</x:v>
      </x:c>
      <x:c r="B11" s="74" t="n">
        <x:f>COUNTIF('Test Cases'!$J$5:$J$37,"Low")</x:f>
        <x:v>1</x:v>
      </x:c>
      <x:c r="D11" s="98"/>
      <x:c r="E11" s="99"/>
      <x:c r="F11" s="100"/>
    </x:row>
    <x:row r="12">
      <x:c r="D12" s="101"/>
      <x:c r="E12" s="102"/>
      <x:c r="F12" s="103"/>
    </x:row>
  </x:sheetData>
  <x:mergeCells>
    <x:mergeCell ref="A1:F1"/>
    <x:mergeCell ref="D9:F9"/>
    <x:mergeCell ref="D10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6" hidden="0" customWidth="1"/>
    <x:col min="4" max="4" width="22" hidden="0" customWidth="1"/>
    <x:col min="5" max="5" width="34" hidden="0" customWidth="1"/>
    <x:col min="6" max="6" width="38" hidden="0" customWidth="1"/>
    <x:col min="7" max="7" width="48" hidden="0" customWidth="1"/>
    <x:col min="8" max="8" width="20" hidden="0" customWidth="1"/>
    <x:col min="9" max="9" width="48" hidden="0" customWidth="1"/>
    <x:col min="10" max="10" width="12" hidden="0" customWidth="1"/>
    <x:col min="11" max="11" width="16" hidden="0" customWidth="1"/>
    <x:col min="12" max="12" width="18" hidden="0" customWidth="1"/>
    <x:col min="13" max="13" width="36" hidden="0" customWidth="1"/>
    <x:col min="14" max="14" width="14" hidden="0" customWidth="1"/>
    <x:col min="15" max="15" width="22" hidden="0" customWidth="1"/>
  </x:cols>
  <x:sheetData>
    <x:row r="1" ht="30" customHeight="1">
      <x:c r="A1" s="4" t="str">
        <x:v>PrintFlow – Detailed Test Cases</x:v>
      </x:c>
      <x:c r="B1" s="4" t="str">
        <x:v>PrintFlow – Detailed Test Cases</x:v>
      </x:c>
      <x:c r="C1" s="4" t="str">
        <x:v>PrintFlow – Detailed Test Cases</x:v>
      </x:c>
      <x:c r="D1" s="4" t="str">
        <x:v>PrintFlow – Detailed Test Cases</x:v>
      </x:c>
      <x:c r="E1" s="4" t="str">
        <x:v>PrintFlow – Detailed Test Cases</x:v>
      </x:c>
      <x:c r="F1" s="4" t="str">
        <x:v>PrintFlow – Detailed Test Cases</x:v>
      </x:c>
      <x:c r="G1" s="4" t="str">
        <x:v>PrintFlow – Detailed Test Cases</x:v>
      </x:c>
      <x:c r="H1" s="4" t="str">
        <x:v>PrintFlow – Detailed Test Cases</x:v>
      </x:c>
      <x:c r="I1" s="4" t="str">
        <x:v>PrintFlow – Detailed Test Cases</x:v>
      </x:c>
      <x:c r="J1" s="4" t="str">
        <x:v>PrintFlow – Detailed Test Cases</x:v>
      </x:c>
      <x:c r="K1" s="4" t="str">
        <x:v>PrintFlow – Detailed Test Cases</x:v>
      </x:c>
      <x:c r="L1" s="4" t="str">
        <x:v>PrintFlow – Detailed Test Cases</x:v>
      </x:c>
      <x:c r="M1" s="4" t="str">
        <x:v>PrintFlow – Detailed Test Cases</x:v>
      </x:c>
      <x:c r="N1" s="4" t="str">
        <x:v>PrintFlow – Detailed Test Cases</x:v>
      </x:c>
      <x:c r="O1" s="4" t="str">
        <x:v>PrintFlow – Detailed Test Cases</x:v>
      </x:c>
    </x:row>
    <x:row r="2">
      <x:c r="A2" s="7" t="str">
        <x:v>Module: Printer Registration and Status Management  |  Version: 1.0  |  Prepared by: Muhammad Nur Iman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4" customHeight="1">
      <x:c r="A4" s="13" t="str">
        <x:v>Test Case ID</x:v>
      </x:c>
      <x:c r="B4" s="13" t="str">
        <x:v>Requirement ID</x:v>
      </x:c>
      <x:c r="C4" s="13" t="str">
        <x:v>Scenario ID</x:v>
      </x:c>
      <x:c r="D4" s="13" t="str">
        <x:v>Module</x:v>
      </x:c>
      <x:c r="E4" s="13" t="str">
        <x:v>Test Case Title</x:v>
      </x:c>
      <x:c r="F4" s="13" t="str">
        <x:v>Preconditions</x:v>
      </x:c>
      <x:c r="G4" s="13" t="str">
        <x:v>Test Steps</x:v>
      </x:c>
      <x:c r="H4" s="13" t="str">
        <x:v>Test Data ID</x:v>
      </x:c>
      <x:c r="I4" s="13" t="str">
        <x:v>Expected Result</x:v>
      </x:c>
      <x:c r="J4" s="13" t="str">
        <x:v>Priority</x:v>
      </x:c>
      <x:c r="K4" s="13" t="str">
        <x:v>Test Type</x:v>
      </x:c>
      <x:c r="L4" s="13" t="str">
        <x:v>Execution Status</x:v>
      </x:c>
      <x:c r="M4" s="13" t="str">
        <x:v>Actual Result</x:v>
      </x:c>
      <x:c r="N4" s="13" t="str">
        <x:v>Defect ID</x:v>
      </x:c>
      <x:c r="O4" s="13" t="str">
        <x:v>Evidence</x:v>
      </x:c>
    </x:row>
    <x:row r="5" ht="72" customHeight="1">
      <x:c r="A5" s="41" t="str">
        <x:v>TC-REG-001</x:v>
      </x:c>
      <x:c r="B5" s="42" t="str">
        <x:v>FR-001</x:v>
      </x:c>
      <x:c r="C5" s="42" t="str">
        <x:v>TS-REG-001</x:v>
      </x:c>
      <x:c r="D5" s="42" t="str">
        <x:v>Printer Registration</x:v>
      </x:c>
      <x:c r="E5" s="33" t="str">
        <x:v>Administrator accesses the printer registration form</x:v>
      </x:c>
      <x:c r="F5" s="33" t="str">
        <x:v>User is authenticated as Administrator</x:v>
      </x:c>
      <x:c r="G5" s="33" t="str">
        <x:v>1. Open PrintFlow.
2. Navigate to Printers.
3. Select Register Printer.</x:v>
      </x:c>
      <x:c r="H5" s="33" t="str">
        <x:v>TD-USER-ADMIN</x:v>
      </x:c>
      <x:c r="I5" s="33" t="str">
        <x:v>The printer registration form opens and all configured fields are available.</x:v>
      </x:c>
      <x:c r="J5" s="47" t="str">
        <x:v>High</x:v>
      </x:c>
      <x:c r="K5" s="47" t="str">
        <x:v>Positive</x:v>
      </x:c>
      <x:c r="L5" s="47" t="str">
        <x:v>Not Executed</x:v>
      </x:c>
      <x:c r="M5" s="33" t="str"/>
      <x:c r="N5" s="33" t="str"/>
      <x:c r="O5" s="34" t="str"/>
    </x:row>
    <x:row r="6" ht="72" customHeight="1">
      <x:c r="A6" s="43" t="str">
        <x:v>TC-REG-002</x:v>
      </x:c>
      <x:c r="B6" s="44" t="str">
        <x:v>FR-001, FR-021</x:v>
      </x:c>
      <x:c r="C6" s="44" t="str">
        <x:v>TS-REG-016</x:v>
      </x:c>
      <x:c r="D6" s="44" t="str">
        <x:v>Printer Registration</x:v>
      </x:c>
      <x:c r="E6" s="36" t="str">
        <x:v>Standard User cannot access the registration form</x:v>
      </x:c>
      <x:c r="F6" s="36" t="str">
        <x:v>User is authenticated as Standard User</x:v>
      </x:c>
      <x:c r="G6" s="36" t="str">
        <x:v>1. Open PrintFlow.
2. Navigate to Printers.
3. Review the available actions.</x:v>
      </x:c>
      <x:c r="H6" s="36" t="str">
        <x:v>TD-USER-STANDARD</x:v>
      </x:c>
      <x:c r="I6" s="36" t="str">
        <x:v>The Register Printer action is hidden or disabled for the Standard User.</x:v>
      </x:c>
      <x:c r="J6" s="48" t="str">
        <x:v>High</x:v>
      </x:c>
      <x:c r="K6" s="48" t="str">
        <x:v>Authorization</x:v>
      </x:c>
      <x:c r="L6" s="48" t="str">
        <x:v>Not Executed</x:v>
      </x:c>
      <x:c r="M6" s="36" t="str"/>
      <x:c r="N6" s="36" t="str"/>
      <x:c r="O6" s="37" t="str"/>
    </x:row>
    <x:row r="7" ht="72" customHeight="1">
      <x:c r="A7" s="43" t="str">
        <x:v>TC-REG-003</x:v>
      </x:c>
      <x:c r="B7" s="44" t="str">
        <x:v>FR-002, FR-003</x:v>
      </x:c>
      <x:c r="C7" s="44" t="str">
        <x:v>TS-REG-002</x:v>
      </x:c>
      <x:c r="D7" s="44" t="str">
        <x:v>Printer Registration</x:v>
      </x:c>
      <x:c r="E7" s="36" t="str">
        <x:v>Registration form displays all required fields</x:v>
      </x:c>
      <x:c r="F7" s="36" t="str">
        <x:v>Administrator is on the registration form</x:v>
      </x:c>
      <x:c r="G7" s="36" t="str">
        <x:v>1. Review the registration form.
2. Verify every field label and required-field indicator.</x:v>
      </x:c>
      <x:c r="H7" s="36" t="str">
        <x:v>TD-PRN-VALID-01</x:v>
      </x:c>
      <x:c r="I7" s="36" t="str">
        <x:v>Printer Name, Model, Serial Number, IP Address, Connection Type, Location, Firmware Version and Initial Status are displayed; mandatory fields are clearly identified.</x:v>
      </x:c>
      <x:c r="J7" s="48" t="str">
        <x:v>High</x:v>
      </x:c>
      <x:c r="K7" s="48" t="str">
        <x:v>Functional</x:v>
      </x:c>
      <x:c r="L7" s="48" t="str">
        <x:v>Not Executed</x:v>
      </x:c>
      <x:c r="M7" s="36" t="str"/>
      <x:c r="N7" s="36" t="str"/>
      <x:c r="O7" s="37" t="str"/>
    </x:row>
    <x:row r="8" ht="72" customHeight="1">
      <x:c r="A8" s="43" t="str">
        <x:v>TC-REG-004</x:v>
      </x:c>
      <x:c r="B8" s="44" t="str">
        <x:v>FR-004</x:v>
      </x:c>
      <x:c r="C8" s="44" t="str">
        <x:v>TS-REG-012</x:v>
      </x:c>
      <x:c r="D8" s="44" t="str">
        <x:v>Printer Registration</x:v>
      </x:c>
      <x:c r="E8" s="36" t="str">
        <x:v>Connection Type provides supported values</x:v>
      </x:c>
      <x:c r="F8" s="36" t="str">
        <x:v>Administrator is on the registration form</x:v>
      </x:c>
      <x:c r="G8" s="36" t="str">
        <x:v>1. Open Connection Type.
2. Review the available values.</x:v>
      </x:c>
      <x:c r="H8" s="36" t="str">
        <x:v>TD-PRN-VALID-01</x:v>
      </x:c>
      <x:c r="I8" s="36" t="str">
        <x:v>Wi-Fi, Ethernet and USB are the only supported connection-type options.</x:v>
      </x:c>
      <x:c r="J8" s="48" t="str">
        <x:v>Medium</x:v>
      </x:c>
      <x:c r="K8" s="48" t="str">
        <x:v>Functional</x:v>
      </x:c>
      <x:c r="L8" s="48" t="str">
        <x:v>Not Executed</x:v>
      </x:c>
      <x:c r="M8" s="36" t="str"/>
      <x:c r="N8" s="36" t="str"/>
      <x:c r="O8" s="37" t="str"/>
    </x:row>
    <x:row r="9" ht="72" customHeight="1">
      <x:c r="A9" s="43" t="str">
        <x:v>TC-REG-005</x:v>
      </x:c>
      <x:c r="B9" s="44" t="str">
        <x:v>FR-005</x:v>
      </x:c>
      <x:c r="C9" s="44" t="str">
        <x:v>TS-REG-013</x:v>
      </x:c>
      <x:c r="D9" s="44" t="str">
        <x:v>Printer Registration</x:v>
      </x:c>
      <x:c r="E9" s="36" t="str">
        <x:v>Initial Status provides permitted values</x:v>
      </x:c>
      <x:c r="F9" s="36" t="str">
        <x:v>Administrator is on the registration form</x:v>
      </x:c>
      <x:c r="G9" s="36" t="str">
        <x:v>1. Open Initial Status.
2. Review the available values.</x:v>
      </x:c>
      <x:c r="H9" s="36" t="str">
        <x:v>TD-PRN-VALID-01</x:v>
      </x:c>
      <x:c r="I9" s="36" t="str">
        <x:v>Online, Offline and Maintenance are available; Busy and Error are not available as initial statuses.</x:v>
      </x:c>
      <x:c r="J9" s="48" t="str">
        <x:v>Medium</x:v>
      </x:c>
      <x:c r="K9" s="48" t="str">
        <x:v>Functional</x:v>
      </x:c>
      <x:c r="L9" s="48" t="str">
        <x:v>Not Executed</x:v>
      </x:c>
      <x:c r="M9" s="36" t="str"/>
      <x:c r="N9" s="36" t="str"/>
      <x:c r="O9" s="37" t="str"/>
    </x:row>
    <x:row r="10" ht="72" customHeight="1">
      <x:c r="A10" s="43" t="str">
        <x:v>TC-REG-006</x:v>
      </x:c>
      <x:c r="B10" s="44" t="str">
        <x:v>FR-003, FR-006, FR-012</x:v>
      </x:c>
      <x:c r="C10" s="44" t="str">
        <x:v>TS-REG-003</x:v>
      </x:c>
      <x:c r="D10" s="44" t="str">
        <x:v>Printer Registration</x:v>
      </x:c>
      <x:c r="E10" s="36" t="str">
        <x:v>Register a valid Wi-Fi printer</x:v>
      </x:c>
      <x:c r="F10" s="36" t="str">
        <x:v>Administrator is on the registration form; serial number and IP address are unused</x:v>
      </x:c>
      <x:c r="G10" s="36" t="str">
        <x:v>1. Enter TD-PRN-WIFI-01.
2. Select Wi-Fi.
3. Select Online.
4. Submit the form.</x:v>
      </x:c>
      <x:c r="H10" s="36" t="str">
        <x:v>TD-PRN-WIFI-01</x:v>
      </x:c>
      <x:c r="I10" s="36" t="str">
        <x:v>The printer is registered successfully with the submitted Wi-Fi details.</x:v>
      </x:c>
      <x:c r="J10" s="48" t="str">
        <x:v>High</x:v>
      </x:c>
      <x:c r="K10" s="48" t="str">
        <x:v>Positive</x:v>
      </x:c>
      <x:c r="L10" s="48" t="str">
        <x:v>Not Executed</x:v>
      </x:c>
      <x:c r="M10" s="36" t="str"/>
      <x:c r="N10" s="36" t="str"/>
      <x:c r="O10" s="37" t="str"/>
    </x:row>
    <x:row r="11" ht="72" customHeight="1">
      <x:c r="A11" s="43" t="str">
        <x:v>TC-REG-007</x:v>
      </x:c>
      <x:c r="B11" s="44" t="str">
        <x:v>FR-003, FR-006, FR-012</x:v>
      </x:c>
      <x:c r="C11" s="44" t="str">
        <x:v>TS-REG-004</x:v>
      </x:c>
      <x:c r="D11" s="44" t="str">
        <x:v>Printer Registration</x:v>
      </x:c>
      <x:c r="E11" s="36" t="str">
        <x:v>Register a valid Ethernet printer</x:v>
      </x:c>
      <x:c r="F11" s="36" t="str">
        <x:v>Administrator is on the registration form; serial number and IP address are unused</x:v>
      </x:c>
      <x:c r="G11" s="36" t="str">
        <x:v>1. Enter TD-PRN-VALID-01.
2. Select Ethernet.
3. Select Online.
4. Submit the form.</x:v>
      </x:c>
      <x:c r="H11" s="36" t="str">
        <x:v>TD-PRN-VALID-01</x:v>
      </x:c>
      <x:c r="I11" s="36" t="str">
        <x:v>The printer is registered successfully with the submitted Ethernet details.</x:v>
      </x:c>
      <x:c r="J11" s="48" t="str">
        <x:v>High</x:v>
      </x:c>
      <x:c r="K11" s="48" t="str">
        <x:v>Positive</x:v>
      </x:c>
      <x:c r="L11" s="48" t="str">
        <x:v>Not Executed</x:v>
      </x:c>
      <x:c r="M11" s="36" t="str"/>
      <x:c r="N11" s="36" t="str"/>
      <x:c r="O11" s="37" t="str"/>
    </x:row>
    <x:row r="12" ht="72" customHeight="1">
      <x:c r="A12" s="43" t="str">
        <x:v>TC-REG-008</x:v>
      </x:c>
      <x:c r="B12" s="44" t="str">
        <x:v>FR-003, FR-007, FR-012</x:v>
      </x:c>
      <x:c r="C12" s="44" t="str">
        <x:v>TS-REG-005</x:v>
      </x:c>
      <x:c r="D12" s="44" t="str">
        <x:v>Printer Registration</x:v>
      </x:c>
      <x:c r="E12" s="36" t="str">
        <x:v>Register a USB printer without an IP address</x:v>
      </x:c>
      <x:c r="F12" s="36" t="str">
        <x:v>Administrator is on the registration form; serial number is unused</x:v>
      </x:c>
      <x:c r="G12" s="36" t="str">
        <x:v>1. Enter TD-PRN-USB-01.
2. Select USB.
3. Leave IP Address empty.
4. Submit the form.</x:v>
      </x:c>
      <x:c r="H12" s="36" t="str">
        <x:v>TD-PRN-USB-01</x:v>
      </x:c>
      <x:c r="I12" s="36" t="str">
        <x:v>The USB printer is registered successfully without an IP address.</x:v>
      </x:c>
      <x:c r="J12" s="48" t="str">
        <x:v>High</x:v>
      </x:c>
      <x:c r="K12" s="48" t="str">
        <x:v>Positive</x:v>
      </x:c>
      <x:c r="L12" s="48" t="str">
        <x:v>Not Executed</x:v>
      </x:c>
      <x:c r="M12" s="36" t="str"/>
      <x:c r="N12" s="36" t="str"/>
      <x:c r="O12" s="37" t="str"/>
    </x:row>
    <x:row r="13" ht="72" customHeight="1">
      <x:c r="A13" s="43" t="str">
        <x:v>TC-REG-009</x:v>
      </x:c>
      <x:c r="B13" s="44" t="str">
        <x:v>FR-003, FR-011</x:v>
      </x:c>
      <x:c r="C13" s="44" t="str">
        <x:v>TS-REG-006</x:v>
      </x:c>
      <x:c r="D13" s="44" t="str">
        <x:v>Printer Registration</x:v>
      </x:c>
      <x:c r="E13" s="36" t="str">
        <x:v>Submit the registration form with all mandatory fields empty</x:v>
      </x:c>
      <x:c r="F13" s="36" t="str">
        <x:v>Administrator is on the registration form</x:v>
      </x:c>
      <x:c r="G13" s="36" t="str">
        <x:v>1. Leave all fields empty.
2. Select Register.</x:v>
      </x:c>
      <x:c r="H13" s="36" t="str">
        <x:v>TD-EMPTY</x:v>
      </x:c>
      <x:c r="I13" s="36" t="str">
        <x:v>Registration is prevented and a clear validation message appears for every mandatory field.</x:v>
      </x:c>
      <x:c r="J13" s="48" t="str">
        <x:v>High</x:v>
      </x:c>
      <x:c r="K13" s="48" t="str">
        <x:v>Negative</x:v>
      </x:c>
      <x:c r="L13" s="48" t="str">
        <x:v>Not Executed</x:v>
      </x:c>
      <x:c r="M13" s="36" t="str"/>
      <x:c r="N13" s="36" t="str"/>
      <x:c r="O13" s="37" t="str"/>
    </x:row>
    <x:row r="14" ht="72" customHeight="1">
      <x:c r="A14" s="43" t="str">
        <x:v>TC-REG-010</x:v>
      </x:c>
      <x:c r="B14" s="44" t="str">
        <x:v>FR-006, FR-011</x:v>
      </x:c>
      <x:c r="C14" s="44" t="str">
        <x:v>TS-REG-007</x:v>
      </x:c>
      <x:c r="D14" s="44" t="str">
        <x:v>Printer Registration</x:v>
      </x:c>
      <x:c r="E14" s="36" t="str">
        <x:v>Wi-Fi printer requires an IP address</x:v>
      </x:c>
      <x:c r="F14" s="36" t="str">
        <x:v>Administrator is on the registration form</x:v>
      </x:c>
      <x:c r="G14" s="36" t="str">
        <x:v>1. Enter valid mandatory data.
2. Select Wi-Fi.
3. Leave IP Address empty.
4. Submit the form.</x:v>
      </x:c>
      <x:c r="H14" s="36" t="str">
        <x:v>TD-PRN-WIFI-NO-IP</x:v>
      </x:c>
      <x:c r="I14" s="36" t="str">
        <x:v>Registration is prevented and the IP Address field displays a required-field validation message.</x:v>
      </x:c>
      <x:c r="J14" s="48" t="str">
        <x:v>High</x:v>
      </x:c>
      <x:c r="K14" s="48" t="str">
        <x:v>Negative</x:v>
      </x:c>
      <x:c r="L14" s="48" t="str">
        <x:v>Not Executed</x:v>
      </x:c>
      <x:c r="M14" s="36" t="str"/>
      <x:c r="N14" s="36" t="str"/>
      <x:c r="O14" s="37" t="str"/>
    </x:row>
    <x:row r="15" ht="72" customHeight="1">
      <x:c r="A15" s="43" t="str">
        <x:v>TC-REG-011</x:v>
      </x:c>
      <x:c r="B15" s="44" t="str">
        <x:v>FR-006, FR-011</x:v>
      </x:c>
      <x:c r="C15" s="44" t="str">
        <x:v>TS-REG-008</x:v>
      </x:c>
      <x:c r="D15" s="44" t="str">
        <x:v>Printer Registration</x:v>
      </x:c>
      <x:c r="E15" s="36" t="str">
        <x:v>Ethernet printer requires an IP address</x:v>
      </x:c>
      <x:c r="F15" s="36" t="str">
        <x:v>Administrator is on the registration form</x:v>
      </x:c>
      <x:c r="G15" s="36" t="str">
        <x:v>1. Enter valid mandatory data.
2. Select Ethernet.
3. Leave IP Address empty.
4. Submit the form.</x:v>
      </x:c>
      <x:c r="H15" s="36" t="str">
        <x:v>TD-PRN-ETH-NO-IP</x:v>
      </x:c>
      <x:c r="I15" s="36" t="str">
        <x:v>Registration is prevented and the IP Address field displays a required-field validation message.</x:v>
      </x:c>
      <x:c r="J15" s="48" t="str">
        <x:v>High</x:v>
      </x:c>
      <x:c r="K15" s="48" t="str">
        <x:v>Negative</x:v>
      </x:c>
      <x:c r="L15" s="48" t="str">
        <x:v>Not Executed</x:v>
      </x:c>
      <x:c r="M15" s="36" t="str"/>
      <x:c r="N15" s="36" t="str"/>
      <x:c r="O15" s="37" t="str"/>
    </x:row>
    <x:row r="16" ht="72" customHeight="1">
      <x:c r="A16" s="43" t="str">
        <x:v>TC-REG-012</x:v>
      </x:c>
      <x:c r="B16" s="44" t="str">
        <x:v>FR-008, FR-011</x:v>
      </x:c>
      <x:c r="C16" s="44" t="str">
        <x:v>TS-REG-009</x:v>
      </x:c>
      <x:c r="D16" s="44" t="str">
        <x:v>Printer Registration</x:v>
      </x:c>
      <x:c r="E16" s="36" t="str">
        <x:v>Reject IPv4 address with an octet above 255</x:v>
      </x:c>
      <x:c r="F16" s="36" t="str">
        <x:v>Administrator is on the registration form</x:v>
      </x:c>
      <x:c r="G16" s="36" t="str">
        <x:v>1. Enter valid mandatory data.
2. Select Ethernet.
3. Enter 192.168.10.256.
4. Submit the form.</x:v>
      </x:c>
      <x:c r="H16" s="36" t="str">
        <x:v>TD-IP-INVALID-01</x:v>
      </x:c>
      <x:c r="I16" s="36" t="str">
        <x:v>Registration is prevented and an invalid IP address message is displayed.</x:v>
      </x:c>
      <x:c r="J16" s="48" t="str">
        <x:v>High</x:v>
      </x:c>
      <x:c r="K16" s="48" t="str">
        <x:v>Boundary</x:v>
      </x:c>
      <x:c r="L16" s="48" t="str">
        <x:v>Not Executed</x:v>
      </x:c>
      <x:c r="M16" s="36" t="str"/>
      <x:c r="N16" s="36" t="str"/>
      <x:c r="O16" s="37" t="str"/>
    </x:row>
    <x:row r="17" ht="72" customHeight="1">
      <x:c r="A17" s="43" t="str">
        <x:v>TC-REG-013</x:v>
      </x:c>
      <x:c r="B17" s="44" t="str">
        <x:v>FR-008, FR-011</x:v>
      </x:c>
      <x:c r="C17" s="44" t="str">
        <x:v>TS-REG-009</x:v>
      </x:c>
      <x:c r="D17" s="44" t="str">
        <x:v>Printer Registration</x:v>
      </x:c>
      <x:c r="E17" s="36" t="str">
        <x:v>Reject an incomplete IPv4 address</x:v>
      </x:c>
      <x:c r="F17" s="36" t="str">
        <x:v>Administrator is on the registration form</x:v>
      </x:c>
      <x:c r="G17" s="36" t="str">
        <x:v>1. Enter valid mandatory data.
2. Select Ethernet.
3. Enter 192.168.10.
4. Submit the form.</x:v>
      </x:c>
      <x:c r="H17" s="36" t="str">
        <x:v>TD-IP-INVALID-02</x:v>
      </x:c>
      <x:c r="I17" s="36" t="str">
        <x:v>Registration is prevented and an invalid IP address message is displayed.</x:v>
      </x:c>
      <x:c r="J17" s="48" t="str">
        <x:v>High</x:v>
      </x:c>
      <x:c r="K17" s="48" t="str">
        <x:v>Negative</x:v>
      </x:c>
      <x:c r="L17" s="48" t="str">
        <x:v>Not Executed</x:v>
      </x:c>
      <x:c r="M17" s="36" t="str"/>
      <x:c r="N17" s="36" t="str"/>
      <x:c r="O17" s="37" t="str"/>
    </x:row>
    <x:row r="18" ht="72" customHeight="1">
      <x:c r="A18" s="43" t="str">
        <x:v>TC-REG-014</x:v>
      </x:c>
      <x:c r="B18" s="44" t="str">
        <x:v>FR-008, FR-012</x:v>
      </x:c>
      <x:c r="C18" s="44" t="str">
        <x:v>TS-REG-009</x:v>
      </x:c>
      <x:c r="D18" s="44" t="str">
        <x:v>Printer Registration</x:v>
      </x:c>
      <x:c r="E18" s="36" t="str">
        <x:v>Accept valid IPv4 boundary values</x:v>
      </x:c>
      <x:c r="F18" s="36" t="str">
        <x:v>Administrator is on the registration form; IP addresses are unused</x:v>
      </x:c>
      <x:c r="G18" s="36" t="str">
        <x:v>1. Enter valid printer data with 0.0.0.0.
2. Submit and record the result.
3. Repeat with 255.255.255.255 according to the agreed network policy.</x:v>
      </x:c>
      <x:c r="H18" s="36" t="str">
        <x:v>TD-IP-BOUNDARY</x:v>
      </x:c>
      <x:c r="I18" s="36" t="str">
        <x:v>System behaviour matches the documented network policy; accepted and rejected boundary addresses are handled consistently with clear feedback.</x:v>
      </x:c>
      <x:c r="J18" s="48" t="str">
        <x:v>Medium</x:v>
      </x:c>
      <x:c r="K18" s="48" t="str">
        <x:v>Boundary</x:v>
      </x:c>
      <x:c r="L18" s="48" t="str">
        <x:v>Not Executed</x:v>
      </x:c>
      <x:c r="M18" s="36" t="str"/>
      <x:c r="N18" s="36" t="str"/>
      <x:c r="O18" s="37" t="str"/>
    </x:row>
    <x:row r="19" ht="72" customHeight="1">
      <x:c r="A19" s="43" t="str">
        <x:v>TC-REG-015</x:v>
      </x:c>
      <x:c r="B19" s="44" t="str">
        <x:v>FR-009, FR-011</x:v>
      </x:c>
      <x:c r="C19" s="44" t="str">
        <x:v>TS-REG-010</x:v>
      </x:c>
      <x:c r="D19" s="44" t="str">
        <x:v>Printer Registration</x:v>
      </x:c>
      <x:c r="E19" s="36" t="str">
        <x:v>Reject a duplicate serial number</x:v>
      </x:c>
      <x:c r="F19" s="36" t="str">
        <x:v>A printer with NJX100-00001 already exists</x:v>
      </x:c>
      <x:c r="G19" s="36" t="str">
        <x:v>1. Enter valid printer information.
2. Enter NJX100-00001 as Serial Number.
3. Use a unique IP address.
4. Submit the form.</x:v>
      </x:c>
      <x:c r="H19" s="36" t="str">
        <x:v>TD-DUP-SERIAL</x:v>
      </x:c>
      <x:c r="I19" s="36" t="str">
        <x:v>Registration is prevented and a duplicate serial-number message is displayed.</x:v>
      </x:c>
      <x:c r="J19" s="48" t="str">
        <x:v>High</x:v>
      </x:c>
      <x:c r="K19" s="48" t="str">
        <x:v>Negative</x:v>
      </x:c>
      <x:c r="L19" s="48" t="str">
        <x:v>Not Executed</x:v>
      </x:c>
      <x:c r="M19" s="36" t="str"/>
      <x:c r="N19" s="36" t="str"/>
      <x:c r="O19" s="37" t="str"/>
    </x:row>
    <x:row r="20" ht="72" customHeight="1">
      <x:c r="A20" s="43" t="str">
        <x:v>TC-REG-016</x:v>
      </x:c>
      <x:c r="B20" s="44" t="str">
        <x:v>FR-010, FR-011</x:v>
      </x:c>
      <x:c r="C20" s="44" t="str">
        <x:v>TS-REG-011</x:v>
      </x:c>
      <x:c r="D20" s="44" t="str">
        <x:v>Printer Registration</x:v>
      </x:c>
      <x:c r="E20" s="36" t="str">
        <x:v>Reject a duplicate network IP address</x:v>
      </x:c>
      <x:c r="F20" s="36" t="str">
        <x:v>A network printer using 192.168.10.25 already exists</x:v>
      </x:c>
      <x:c r="G20" s="36" t="str">
        <x:v>1. Enter valid printer information.
2. Select Wi-Fi or Ethernet.
3. Enter 192.168.10.25.
4. Use a unique serial number.
5. Submit the form.</x:v>
      </x:c>
      <x:c r="H20" s="36" t="str">
        <x:v>TD-DUP-IP</x:v>
      </x:c>
      <x:c r="I20" s="36" t="str">
        <x:v>Registration is prevented and a duplicate IP-address message is displayed.</x:v>
      </x:c>
      <x:c r="J20" s="48" t="str">
        <x:v>High</x:v>
      </x:c>
      <x:c r="K20" s="48" t="str">
        <x:v>Negative</x:v>
      </x:c>
      <x:c r="L20" s="48" t="str">
        <x:v>Not Executed</x:v>
      </x:c>
      <x:c r="M20" s="36" t="str"/>
      <x:c r="N20" s="36" t="str"/>
      <x:c r="O20" s="37" t="str"/>
    </x:row>
    <x:row r="21" ht="72" customHeight="1">
      <x:c r="A21" s="43" t="str">
        <x:v>TC-REG-017</x:v>
      </x:c>
      <x:c r="B21" s="44" t="str">
        <x:v>FR-013</x:v>
      </x:c>
      <x:c r="C21" s="44" t="str">
        <x:v>TS-REG-014</x:v>
      </x:c>
      <x:c r="D21" s="44" t="str">
        <x:v>Printer Registration</x:v>
      </x:c>
      <x:c r="E21" s="36" t="str">
        <x:v>Display success feedback after registration</x:v>
      </x:c>
      <x:c r="F21" s="36" t="str">
        <x:v>Administrator submits a valid unique printer</x:v>
      </x:c>
      <x:c r="G21" s="36" t="str">
        <x:v>1. Complete the form with valid data.
2. Submit the form.
3. Observe the application feedback.</x:v>
      </x:c>
      <x:c r="H21" s="36" t="str">
        <x:v>TD-PRN-VALID-02</x:v>
      </x:c>
      <x:c r="I21" s="36" t="str">
        <x:v>A clear success message is displayed once and identifies that registration completed successfully.</x:v>
      </x:c>
      <x:c r="J21" s="48" t="str">
        <x:v>Medium</x:v>
      </x:c>
      <x:c r="K21" s="48" t="str">
        <x:v>Functional</x:v>
      </x:c>
      <x:c r="L21" s="48" t="str">
        <x:v>Not Executed</x:v>
      </x:c>
      <x:c r="M21" s="36" t="str"/>
      <x:c r="N21" s="36" t="str"/>
      <x:c r="O21" s="37" t="str"/>
    </x:row>
    <x:row r="22" ht="72" customHeight="1">
      <x:c r="A22" s="43" t="str">
        <x:v>TC-REG-018</x:v>
      </x:c>
      <x:c r="B22" s="44" t="str">
        <x:v>FR-014, FR-015, FR-016</x:v>
      </x:c>
      <x:c r="C22" s="44" t="str">
        <x:v>TS-REG-015</x:v>
      </x:c>
      <x:c r="D22" s="44" t="str">
        <x:v>Printer Registration</x:v>
      </x:c>
      <x:c r="E22" s="36" t="str">
        <x:v>New printer appears in the printer list</x:v>
      </x:c>
      <x:c r="F22" s="36" t="str">
        <x:v>A new printer has been registered successfully</x:v>
      </x:c>
      <x:c r="G22" s="36" t="str">
        <x:v>1. Navigate to the printer list.
2. Search using the new serial number.
3. Compare the displayed record with submitted data.</x:v>
      </x:c>
      <x:c r="H22" s="36" t="str">
        <x:v>TD-PRN-VALID-02</x:v>
      </x:c>
      <x:c r="I22" s="36" t="str">
        <x:v>Exactly one matching printer is displayed and its name, model, serial number, IP address, connection type and status match the submitted values.</x:v>
      </x:c>
      <x:c r="J22" s="48" t="str">
        <x:v>High</x:v>
      </x:c>
      <x:c r="K22" s="48" t="str">
        <x:v>Integration</x:v>
      </x:c>
      <x:c r="L22" s="48" t="str">
        <x:v>Not Executed</x:v>
      </x:c>
      <x:c r="M22" s="36" t="str"/>
      <x:c r="N22" s="36" t="str"/>
      <x:c r="O22" s="37" t="str"/>
    </x:row>
    <x:row r="23" ht="72" customHeight="1">
      <x:c r="A23" s="43" t="str">
        <x:v>TC-REG-019</x:v>
      </x:c>
      <x:c r="B23" s="44" t="str">
        <x:v>FR-038</x:v>
      </x:c>
      <x:c r="C23" s="44" t="str">
        <x:v>TS-REG-006</x:v>
      </x:c>
      <x:c r="D23" s="44" t="str">
        <x:v>Printer Registration</x:v>
      </x:c>
      <x:c r="E23" s="36" t="str">
        <x:v>Preserve valid values after one field fails validation</x:v>
      </x:c>
      <x:c r="F23" s="36" t="str">
        <x:v>Administrator entered valid values except for IP Address</x:v>
      </x:c>
      <x:c r="G23" s="36" t="str">
        <x:v>1. Complete all fields.
2. Enter an invalid IP address.
3. Submit the form.
4. Review all previously entered fields.</x:v>
      </x:c>
      <x:c r="H23" s="36" t="str">
        <x:v>TD-IP-INVALID-01</x:v>
      </x:c>
      <x:c r="I23" s="36" t="str">
        <x:v>The invalid IP Address is flagged and all other valid submitted values remain populated.</x:v>
      </x:c>
      <x:c r="J23" s="48" t="str">
        <x:v>Medium</x:v>
      </x:c>
      <x:c r="K23" s="48" t="str">
        <x:v>Usability</x:v>
      </x:c>
      <x:c r="L23" s="48" t="str">
        <x:v>Not Executed</x:v>
      </x:c>
      <x:c r="M23" s="36" t="str"/>
      <x:c r="N23" s="36" t="str"/>
      <x:c r="O23" s="37" t="str"/>
    </x:row>
    <x:row r="24" ht="72" customHeight="1">
      <x:c r="A24" s="43" t="str">
        <x:v>TC-STS-001</x:v>
      </x:c>
      <x:c r="B24" s="44" t="str">
        <x:v>FR-022</x:v>
      </x:c>
      <x:c r="C24" s="44" t="str">
        <x:v>TS-STS-001</x:v>
      </x:c>
      <x:c r="D24" s="44" t="str">
        <x:v>Status Management</x:v>
      </x:c>
      <x:c r="E24" s="36" t="str">
        <x:v>Display latest status for every printer</x:v>
      </x:c>
      <x:c r="F24" s="36" t="str">
        <x:v>At least one printer exists for each supported status</x:v>
      </x:c>
      <x:c r="G24" s="36" t="str">
        <x:v>1. Open the printer list.
2. Review the Status column.
3. Open each printer detail view.</x:v>
      </x:c>
      <x:c r="H24" s="36" t="str">
        <x:v>TD-STATUS-SET</x:v>
      </x:c>
      <x:c r="I24" s="36" t="str">
        <x:v>Each printer displays one clear latest status and the list matches the detail view.</x:v>
      </x:c>
      <x:c r="J24" s="48" t="str">
        <x:v>High</x:v>
      </x:c>
      <x:c r="K24" s="48" t="str">
        <x:v>Functional</x:v>
      </x:c>
      <x:c r="L24" s="48" t="str">
        <x:v>Not Executed</x:v>
      </x:c>
      <x:c r="M24" s="36" t="str"/>
      <x:c r="N24" s="36" t="str"/>
      <x:c r="O24" s="37" t="str"/>
    </x:row>
    <x:row r="25" ht="72" customHeight="1">
      <x:c r="A25" s="43" t="str">
        <x:v>TC-STS-002</x:v>
      </x:c>
      <x:c r="B25" s="44" t="str">
        <x:v>FR-023, FR-027</x:v>
      </x:c>
      <x:c r="C25" s="44" t="str">
        <x:v>TS-STS-002</x:v>
      </x:c>
      <x:c r="D25" s="44" t="str">
        <x:v>Status Management</x:v>
      </x:c>
      <x:c r="E25" s="36" t="str">
        <x:v>Administrator changes status from Online to Busy</x:v>
      </x:c>
      <x:c r="F25" s="36" t="str">
        <x:v>Administrator is authenticated; target printer status is Online</x:v>
      </x:c>
      <x:c r="G25" s="36" t="str">
        <x:v>1. Open the target printer.
2. Select Change Status.
3. Choose Busy.
4. Confirm.</x:v>
      </x:c>
      <x:c r="H25" s="36" t="str">
        <x:v>TD-TRANS-ONLINE-BUSY</x:v>
      </x:c>
      <x:c r="I25" s="36" t="str">
        <x:v>The update succeeds and Busy is displayed immediately in the detail view and printer list.</x:v>
      </x:c>
      <x:c r="J25" s="48" t="str">
        <x:v>High</x:v>
      </x:c>
      <x:c r="K25" s="48" t="str">
        <x:v>Positive</x:v>
      </x:c>
      <x:c r="L25" s="48" t="str">
        <x:v>Not Executed</x:v>
      </x:c>
      <x:c r="M25" s="36" t="str"/>
      <x:c r="N25" s="36" t="str"/>
      <x:c r="O25" s="37" t="str"/>
    </x:row>
    <x:row r="26" ht="72" customHeight="1">
      <x:c r="A26" s="43" t="str">
        <x:v>TC-STS-003</x:v>
      </x:c>
      <x:c r="B26" s="44" t="str">
        <x:v>FR-023, FR-024</x:v>
      </x:c>
      <x:c r="C26" s="44" t="str">
        <x:v>TS-STS-004</x:v>
      </x:c>
      <x:c r="D26" s="44" t="str">
        <x:v>Status Management</x:v>
      </x:c>
      <x:c r="E26" s="36" t="str">
        <x:v>Complete each permitted status transition</x:v>
      </x:c>
      <x:c r="F26" s="36" t="str">
        <x:v>Administrator is authenticated; reusable printers exist in known states</x:v>
      </x:c>
      <x:c r="G26" s="36" t="str">
        <x:v>1. Use the Status Transitions sheet.
2. Execute every transition marked Allowed.
3. Verify the updated status after each action.</x:v>
      </x:c>
      <x:c r="H26" s="36" t="str">
        <x:v>TD-STATUS-SET</x:v>
      </x:c>
      <x:c r="I26" s="36" t="str">
        <x:v>Every permitted transition completes successfully and displays the correct new status.</x:v>
      </x:c>
      <x:c r="J26" s="48" t="str">
        <x:v>High</x:v>
      </x:c>
      <x:c r="K26" s="48" t="str">
        <x:v>Positive</x:v>
      </x:c>
      <x:c r="L26" s="48" t="str">
        <x:v>Not Executed</x:v>
      </x:c>
      <x:c r="M26" s="36" t="str"/>
      <x:c r="N26" s="36" t="str"/>
      <x:c r="O26" s="37" t="str"/>
    </x:row>
    <x:row r="27" ht="72" customHeight="1">
      <x:c r="A27" s="43" t="str">
        <x:v>TC-STS-004</x:v>
      </x:c>
      <x:c r="B27" s="44" t="str">
        <x:v>FR-025, FR-026</x:v>
      </x:c>
      <x:c r="C27" s="44" t="str">
        <x:v>TS-STS-005</x:v>
      </x:c>
      <x:c r="D27" s="44" t="str">
        <x:v>Status Management</x:v>
      </x:c>
      <x:c r="E27" s="36" t="str">
        <x:v>Block Maintenance to Busy transition</x:v>
      </x:c>
      <x:c r="F27" s="36" t="str">
        <x:v>Administrator is authenticated; target printer status is Maintenance</x:v>
      </x:c>
      <x:c r="G27" s="36" t="str">
        <x:v>1. Open the target printer.
2. Select Change Status.
3. Attempt to choose Busy.
4. Confirm if the option is available.</x:v>
      </x:c>
      <x:c r="H27" s="36" t="str">
        <x:v>TD-TRANS-MAINT-BUSY</x:v>
      </x:c>
      <x:c r="I27" s="36" t="str">
        <x:v>Busy is unavailable or the update is rejected; the printer remains in Maintenance and a clear error message is displayed.</x:v>
      </x:c>
      <x:c r="J27" s="48" t="str">
        <x:v>High</x:v>
      </x:c>
      <x:c r="K27" s="48" t="str">
        <x:v>Negative</x:v>
      </x:c>
      <x:c r="L27" s="48" t="str">
        <x:v>Not Executed</x:v>
      </x:c>
      <x:c r="M27" s="36" t="str"/>
      <x:c r="N27" s="36" t="str"/>
      <x:c r="O27" s="37" t="str"/>
    </x:row>
    <x:row r="28" ht="72" customHeight="1">
      <x:c r="A28" s="43" t="str">
        <x:v>TC-STS-005</x:v>
      </x:c>
      <x:c r="B28" s="44" t="str">
        <x:v>FR-028, FR-029</x:v>
      </x:c>
      <x:c r="C28" s="44" t="str">
        <x:v>TS-STS-008</x:v>
      </x:c>
      <x:c r="D28" s="44" t="str">
        <x:v>Status Management</x:v>
      </x:c>
      <x:c r="E28" s="36" t="str">
        <x:v>Successful status change creates a history record</x:v>
      </x:c>
      <x:c r="F28" s="36" t="str">
        <x:v>Administrator changes a printer from Offline to Online</x:v>
      </x:c>
      <x:c r="G28" s="36" t="str">
        <x:v>1. Complete the status change.
2. Open Status History.
3. Locate the newest entry.</x:v>
      </x:c>
      <x:c r="H28" s="36" t="str">
        <x:v>TD-TRANS-OFFLINE-ONLINE</x:v>
      </x:c>
      <x:c r="I28" s="36" t="str">
        <x:v>One new history record is created for the successful transition.</x:v>
      </x:c>
      <x:c r="J28" s="48" t="str">
        <x:v>High</x:v>
      </x:c>
      <x:c r="K28" s="48" t="str">
        <x:v>Integration</x:v>
      </x:c>
      <x:c r="L28" s="48" t="str">
        <x:v>Not Executed</x:v>
      </x:c>
      <x:c r="M28" s="36" t="str"/>
      <x:c r="N28" s="36" t="str"/>
      <x:c r="O28" s="37" t="str"/>
    </x:row>
    <x:row r="29" ht="72" customHeight="1">
      <x:c r="A29" s="43" t="str">
        <x:v>TC-STS-006</x:v>
      </x:c>
      <x:c r="B29" s="44" t="str">
        <x:v>FR-028</x:v>
      </x:c>
      <x:c r="C29" s="44" t="str">
        <x:v>TS-STS-009</x:v>
      </x:c>
      <x:c r="D29" s="44" t="str">
        <x:v>Status Management</x:v>
      </x:c>
      <x:c r="E29" s="36" t="str">
        <x:v>Status history stores complete audit details</x:v>
      </x:c>
      <x:c r="F29" s="36" t="str">
        <x:v>A successful status change has been completed</x:v>
      </x:c>
      <x:c r="G29" s="36" t="str">
        <x:v>1. Open Status History.
2. Inspect the latest record.
3. Compare it with the executed change.</x:v>
      </x:c>
      <x:c r="H29" s="36" t="str">
        <x:v>TD-TRANS-OFFLINE-ONLINE</x:v>
      </x:c>
      <x:c r="I29" s="36" t="str">
        <x:v>The record contains the correct previous status, new status, user and timestamp.</x:v>
      </x:c>
      <x:c r="J29" s="48" t="str">
        <x:v>High</x:v>
      </x:c>
      <x:c r="K29" s="48" t="str">
        <x:v>Functional</x:v>
      </x:c>
      <x:c r="L29" s="48" t="str">
        <x:v>Not Executed</x:v>
      </x:c>
      <x:c r="M29" s="36" t="str"/>
      <x:c r="N29" s="36" t="str"/>
      <x:c r="O29" s="37" t="str"/>
    </x:row>
    <x:row r="30" ht="72" customHeight="1">
      <x:c r="A30" s="43" t="str">
        <x:v>TC-STS-007</x:v>
      </x:c>
      <x:c r="B30" s="44" t="str">
        <x:v>FR-025, FR-028</x:v>
      </x:c>
      <x:c r="C30" s="44" t="str">
        <x:v>TS-STS-005</x:v>
      </x:c>
      <x:c r="D30" s="44" t="str">
        <x:v>Status Management</x:v>
      </x:c>
      <x:c r="E30" s="36" t="str">
        <x:v>Rejected status transition does not create history</x:v>
      </x:c>
      <x:c r="F30" s="36" t="str">
        <x:v>Target printer is in Maintenance</x:v>
      </x:c>
      <x:c r="G30" s="36" t="str">
        <x:v>1. Record the current history count.
2. Attempt Maintenance to Busy.
3. Reopen Status History.</x:v>
      </x:c>
      <x:c r="H30" s="36" t="str">
        <x:v>TD-TRANS-MAINT-BUSY</x:v>
      </x:c>
      <x:c r="I30" s="36" t="str">
        <x:v>No new history record is created and the existing history remains unchanged.</x:v>
      </x:c>
      <x:c r="J30" s="48" t="str">
        <x:v>High</x:v>
      </x:c>
      <x:c r="K30" s="48" t="str">
        <x:v>Negative</x:v>
      </x:c>
      <x:c r="L30" s="48" t="str">
        <x:v>Not Executed</x:v>
      </x:c>
      <x:c r="M30" s="36" t="str"/>
      <x:c r="N30" s="36" t="str"/>
      <x:c r="O30" s="37" t="str"/>
    </x:row>
    <x:row r="31" ht="72" customHeight="1">
      <x:c r="A31" s="43" t="str">
        <x:v>TC-STS-008</x:v>
      </x:c>
      <x:c r="B31" s="44" t="str">
        <x:v>FR-030, FR-039</x:v>
      </x:c>
      <x:c r="C31" s="44" t="str">
        <x:v>TS-STS-011</x:v>
      </x:c>
      <x:c r="D31" s="44" t="str">
        <x:v>Status Management</x:v>
      </x:c>
      <x:c r="E31" s="36" t="str">
        <x:v>Standard User cannot change printer status</x:v>
      </x:c>
      <x:c r="F31" s="36" t="str">
        <x:v>Standard User is authenticated; at least one printer exists</x:v>
      </x:c>
      <x:c r="G31" s="36" t="str">
        <x:v>1. Open a printer detail page.
2. Review available actions.
3. Attempt direct access to the status-management route if known.</x:v>
      </x:c>
      <x:c r="H31" s="36" t="str">
        <x:v>TD-USER-STANDARD</x:v>
      </x:c>
      <x:c r="I31" s="36" t="str">
        <x:v>Status-change controls are hidden or disabled and direct restricted access is rejected.</x:v>
      </x:c>
      <x:c r="J31" s="48" t="str">
        <x:v>High</x:v>
      </x:c>
      <x:c r="K31" s="48" t="str">
        <x:v>Authorization</x:v>
      </x:c>
      <x:c r="L31" s="48" t="str">
        <x:v>Not Executed</x:v>
      </x:c>
      <x:c r="M31" s="36" t="str"/>
      <x:c r="N31" s="36" t="str"/>
      <x:c r="O31" s="37" t="str"/>
    </x:row>
    <x:row r="32" ht="72" customHeight="1">
      <x:c r="A32" s="43" t="str">
        <x:v>TC-SRH-001</x:v>
      </x:c>
      <x:c r="B32" s="44" t="str">
        <x:v>FR-031, FR-032</x:v>
      </x:c>
      <x:c r="C32" s="44" t="str">
        <x:v>TS-SRH-001</x:v>
      </x:c>
      <x:c r="D32" s="44" t="str">
        <x:v>Search and Filter</x:v>
      </x:c>
      <x:c r="E32" s="36" t="str">
        <x:v>Search using an exact serial number</x:v>
      </x:c>
      <x:c r="F32" s="36" t="str">
        <x:v>A printer with NJX100-00001 exists</x:v>
      </x:c>
      <x:c r="G32" s="36" t="str">
        <x:v>1. Open the printer list.
2. Enter NJX100-00001 in Search.
3. Submit or wait for results.</x:v>
      </x:c>
      <x:c r="H32" s="36" t="str">
        <x:v>TD-SEARCH-SERIAL</x:v>
      </x:c>
      <x:c r="I32" s="36" t="str">
        <x:v>Exactly the printer with serial number NJX100-00001 is displayed.</x:v>
      </x:c>
      <x:c r="J32" s="48" t="str">
        <x:v>Medium</x:v>
      </x:c>
      <x:c r="K32" s="48" t="str">
        <x:v>Functional</x:v>
      </x:c>
      <x:c r="L32" s="48" t="str">
        <x:v>Not Executed</x:v>
      </x:c>
      <x:c r="M32" s="36" t="str"/>
      <x:c r="N32" s="36" t="str"/>
      <x:c r="O32" s="37" t="str"/>
    </x:row>
    <x:row r="33" ht="72" customHeight="1">
      <x:c r="A33" s="43" t="str">
        <x:v>TC-SRH-002</x:v>
      </x:c>
      <x:c r="B33" s="44" t="str">
        <x:v>FR-031, FR-032</x:v>
      </x:c>
      <x:c r="C33" s="44" t="str">
        <x:v>TS-SRH-001</x:v>
      </x:c>
      <x:c r="D33" s="44" t="str">
        <x:v>Search and Filter</x:v>
      </x:c>
      <x:c r="E33" s="36" t="str">
        <x:v>Search using a partial printer name</x:v>
      </x:c>
      <x:c r="F33" s="36" t="str">
        <x:v>Multiple printers exist; one contains 'Finance' in its name</x:v>
      </x:c>
      <x:c r="G33" s="36" t="str">
        <x:v>1. Open the printer list.
2. Enter Finance in Search.
3. Review results.</x:v>
      </x:c>
      <x:c r="H33" s="36" t="str">
        <x:v>TD-SEARCH-NAME</x:v>
      </x:c>
      <x:c r="I33" s="36" t="str">
        <x:v>Only records matching the supported partial-search behaviour are displayed.</x:v>
      </x:c>
      <x:c r="J33" s="48" t="str">
        <x:v>Medium</x:v>
      </x:c>
      <x:c r="K33" s="48" t="str">
        <x:v>Functional</x:v>
      </x:c>
      <x:c r="L33" s="48" t="str">
        <x:v>Not Executed</x:v>
      </x:c>
      <x:c r="M33" s="36" t="str"/>
      <x:c r="N33" s="36" t="str"/>
      <x:c r="O33" s="37" t="str"/>
    </x:row>
    <x:row r="34" ht="72" customHeight="1">
      <x:c r="A34" s="43" t="str">
        <x:v>TC-SRH-003</x:v>
      </x:c>
      <x:c r="B34" s="44" t="str">
        <x:v>FR-033</x:v>
      </x:c>
      <x:c r="C34" s="44" t="str">
        <x:v>TS-SRH-002</x:v>
      </x:c>
      <x:c r="D34" s="44" t="str">
        <x:v>Search and Filter</x:v>
      </x:c>
      <x:c r="E34" s="36" t="str">
        <x:v>Display no-results feedback</x:v>
      </x:c>
      <x:c r="F34" s="36" t="str">
        <x:v>No printer matches the supplied value</x:v>
      </x:c>
      <x:c r="G34" s="36" t="str">
        <x:v>1. Open the printer list.
2. Search for UNKNOWN-99999.</x:v>
      </x:c>
      <x:c r="H34" s="36" t="str">
        <x:v>TD-SEARCH-NONE</x:v>
      </x:c>
      <x:c r="I34" s="36" t="str">
        <x:v>No unrelated records are displayed and a clear no-results message appears.</x:v>
      </x:c>
      <x:c r="J34" s="48" t="str">
        <x:v>Medium</x:v>
      </x:c>
      <x:c r="K34" s="48" t="str">
        <x:v>Negative</x:v>
      </x:c>
      <x:c r="L34" s="48" t="str">
        <x:v>Not Executed</x:v>
      </x:c>
      <x:c r="M34" s="36" t="str"/>
      <x:c r="N34" s="36" t="str"/>
      <x:c r="O34" s="37" t="str"/>
    </x:row>
    <x:row r="35" ht="72" customHeight="1">
      <x:c r="A35" s="43" t="str">
        <x:v>TC-SRH-004</x:v>
      </x:c>
      <x:c r="B35" s="44" t="str">
        <x:v>FR-034</x:v>
      </x:c>
      <x:c r="C35" s="44" t="str">
        <x:v>TS-SRH-003</x:v>
      </x:c>
      <x:c r="D35" s="44" t="str">
        <x:v>Search and Filter</x:v>
      </x:c>
      <x:c r="E35" s="36" t="str">
        <x:v>Filter printers by status</x:v>
      </x:c>
      <x:c r="F35" s="36" t="str">
        <x:v>Printers exist in Online and Offline statuses</x:v>
      </x:c>
      <x:c r="G35" s="36" t="str">
        <x:v>1. Open the printer list.
2. Apply the Online status filter.
3. Review every returned row.</x:v>
      </x:c>
      <x:c r="H35" s="36" t="str">
        <x:v>TD-FILTER-ONLINE</x:v>
      </x:c>
      <x:c r="I35" s="36" t="str">
        <x:v>Only printers whose current status is Online are displayed.</x:v>
      </x:c>
      <x:c r="J35" s="48" t="str">
        <x:v>Medium</x:v>
      </x:c>
      <x:c r="K35" s="48" t="str">
        <x:v>Functional</x:v>
      </x:c>
      <x:c r="L35" s="48" t="str">
        <x:v>Not Executed</x:v>
      </x:c>
      <x:c r="M35" s="36" t="str"/>
      <x:c r="N35" s="36" t="str"/>
      <x:c r="O35" s="37" t="str"/>
    </x:row>
    <x:row r="36" ht="72" customHeight="1">
      <x:c r="A36" s="43" t="str">
        <x:v>TC-SRH-005</x:v>
      </x:c>
      <x:c r="B36" s="44" t="str">
        <x:v>FR-035</x:v>
      </x:c>
      <x:c r="C36" s="44" t="str">
        <x:v>TS-SRH-004</x:v>
      </x:c>
      <x:c r="D36" s="44" t="str">
        <x:v>Search and Filter</x:v>
      </x:c>
      <x:c r="E36" s="36" t="str">
        <x:v>Filter printers by connection type</x:v>
      </x:c>
      <x:c r="F36" s="36" t="str">
        <x:v>Wi-Fi, Ethernet and USB printers exist</x:v>
      </x:c>
      <x:c r="G36" s="36" t="str">
        <x:v>1. Open the printer list.
2. Apply the USB connection filter.
3. Review every returned row.</x:v>
      </x:c>
      <x:c r="H36" s="36" t="str">
        <x:v>TD-FILTER-USB</x:v>
      </x:c>
      <x:c r="I36" s="36" t="str">
        <x:v>Only printers using the USB connection type are displayed.</x:v>
      </x:c>
      <x:c r="J36" s="48" t="str">
        <x:v>Medium</x:v>
      </x:c>
      <x:c r="K36" s="48" t="str">
        <x:v>Functional</x:v>
      </x:c>
      <x:c r="L36" s="48" t="str">
        <x:v>Not Executed</x:v>
      </x:c>
      <x:c r="M36" s="36" t="str"/>
      <x:c r="N36" s="36" t="str"/>
      <x:c r="O36" s="37" t="str"/>
    </x:row>
    <x:row r="37" ht="72" customHeight="1">
      <x:c r="A37" s="45" t="str">
        <x:v>TC-SRH-006</x:v>
      </x:c>
      <x:c r="B37" s="46" t="str">
        <x:v>FR-036</x:v>
      </x:c>
      <x:c r="C37" s="46" t="str">
        <x:v>TS-SRH-005</x:v>
      </x:c>
      <x:c r="D37" s="46" t="str">
        <x:v>Search and Filter</x:v>
      </x:c>
      <x:c r="E37" s="39" t="str">
        <x:v>Clear applied search and filters</x:v>
      </x:c>
      <x:c r="F37" s="39" t="str">
        <x:v>A search value and at least one filter are active</x:v>
      </x:c>
      <x:c r="G37" s="39" t="str">
        <x:v>1. Select Clear or Reset.
2. Review the controls and printer list.</x:v>
      </x:c>
      <x:c r="H37" s="39" t="str">
        <x:v>TD-CLEAR-FILTERS</x:v>
      </x:c>
      <x:c r="I37" s="39" t="str">
        <x:v>Search and filter controls return to default values and the full permitted printer list is restored.</x:v>
      </x:c>
      <x:c r="J37" s="49" t="str">
        <x:v>Low</x:v>
      </x:c>
      <x:c r="K37" s="49" t="str">
        <x:v>Functional</x:v>
      </x:c>
      <x:c r="L37" s="49" t="str">
        <x:v>Not Executed</x:v>
      </x:c>
      <x:c r="M37" s="39" t="str"/>
      <x:c r="N37" s="39" t="str"/>
      <x:c r="O37" s="40" t="str"/>
    </x:row>
  </x:sheetData>
  <x:mergeCells>
    <x:mergeCell ref="A1:O1"/>
    <x:mergeCell ref="A2:O2"/>
  </x:mergeCells>
  <x:conditionalFormatting sqref="L5:L37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</x:conditionalFormatting>
  <x:dataValidations count="3">
    <x:dataValidation type="list" sqref="L5:L37">
      <x:formula1>"Not Executed,Pass,Fail,Blocked,Not Applicable"</x:formula1>
    </x:dataValidation>
    <x:dataValidation type="list" sqref="J5:J37">
      <x:formula1>"High,Medium,Low"</x:formula1>
    </x:dataValidation>
    <x:dataValidation type="list" sqref="K5:K37">
      <x:formula1>"Positive,Negative,Functional,Boundary,Integration,Authorization,Usability,Regression"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8dd0a3235142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62" hidden="0" customWidth="1"/>
    <x:col min="5" max="5" width="42" hidden="0" customWidth="1"/>
    <x:col min="6" max="6" width="18" hidden="0" customWidth="1"/>
  </x:cols>
  <x:sheetData>
    <x:row r="1" ht="30" customHeight="1">
      <x:c r="A1" s="4" t="str">
        <x:v>PrintFlow – Test Data Catalogue</x:v>
      </x:c>
      <x:c r="B1" s="4" t="str">
        <x:v>PrintFlow – Test Data Catalogue</x:v>
      </x:c>
      <x:c r="C1" s="4" t="str">
        <x:v>PrintFlow – Test Data Catalogue</x:v>
      </x:c>
      <x:c r="D1" s="4" t="str">
        <x:v>PrintFlow – Test Data Catalogue</x:v>
      </x:c>
      <x:c r="E1" s="4" t="str">
        <x:v>PrintFlow – Test Data Catalogue</x:v>
      </x:c>
      <x:c r="F1" s="4" t="str">
        <x:v>PrintFlow – Test Data Catalogue</x:v>
      </x:c>
    </x:row>
    <x:row r="3" ht="34" customHeight="1">
      <x:c r="A3" s="13" t="str">
        <x:v>Test Data ID</x:v>
      </x:c>
      <x:c r="B3" s="13" t="str">
        <x:v>Category</x:v>
      </x:c>
      <x:c r="C3" s="13" t="str">
        <x:v>Data Name</x:v>
      </x:c>
      <x:c r="D3" s="13" t="str">
        <x:v>Value / Record</x:v>
      </x:c>
      <x:c r="E3" s="13" t="str">
        <x:v>Purpose</x:v>
      </x:c>
      <x:c r="F3" s="13" t="str">
        <x:v>Classification</x:v>
      </x:c>
    </x:row>
    <x:row r="4" ht="42" customHeight="1">
      <x:c r="A4" s="32" t="str">
        <x:v>TD-USER-ADMIN</x:v>
      </x:c>
      <x:c r="B4" s="33" t="str">
        <x:v>User Account</x:v>
      </x:c>
      <x:c r="C4" s="33" t="str">
        <x:v>Administrator</x:v>
      </x:c>
      <x:c r="D4" s="33" t="str">
        <x:v>admin.printflow</x:v>
      </x:c>
      <x:c r="E4" s="33" t="str">
        <x:v>Administrator role with printer-management permissions</x:v>
      </x:c>
      <x:c r="F4" s="34" t="str">
        <x:v>Valid</x:v>
      </x:c>
    </x:row>
    <x:row r="5" ht="42" customHeight="1">
      <x:c r="A5" s="35" t="str">
        <x:v>TD-USER-STANDARD</x:v>
      </x:c>
      <x:c r="B5" s="36" t="str">
        <x:v>User Account</x:v>
      </x:c>
      <x:c r="C5" s="36" t="str">
        <x:v>Standard User</x:v>
      </x:c>
      <x:c r="D5" s="36" t="str">
        <x:v>user.printflow</x:v>
      </x:c>
      <x:c r="E5" s="36" t="str">
        <x:v>Read-only role</x:v>
      </x:c>
      <x:c r="F5" s="37" t="str">
        <x:v>Valid</x:v>
      </x:c>
    </x:row>
    <x:row r="6" ht="42" customHeight="1">
      <x:c r="A6" s="35" t="str">
        <x:v>TD-PRN-VALID-01</x:v>
      </x:c>
      <x:c r="B6" s="36" t="str">
        <x:v>Printer</x:v>
      </x:c>
      <x:c r="C6" s="36" t="str">
        <x:v>Finance Room Printer</x:v>
      </x:c>
      <x:c r="D6" s="36" t="str">
        <x:v>NovaJet X100 MFP | NJX100-00001 | 192.168.10.25 | Ethernet | Finance Department | FW 2.1.0 | Online</x:v>
      </x:c>
      <x:c r="E6" s="36" t="str">
        <x:v>Primary valid Ethernet printer</x:v>
      </x:c>
      <x:c r="F6" s="37" t="str">
        <x:v>Valid</x:v>
      </x:c>
    </x:row>
    <x:row r="7" ht="42" customHeight="1">
      <x:c r="A7" s="35" t="str">
        <x:v>TD-PRN-VALID-02</x:v>
      </x:c>
      <x:c r="B7" s="36" t="str">
        <x:v>Printer</x:v>
      </x:c>
      <x:c r="C7" s="36" t="str">
        <x:v>Operations Printer</x:v>
      </x:c>
      <x:c r="D7" s="36" t="str">
        <x:v>NovaJet XL500 | NJXL500-00002 | 192.168.10.26 | Ethernet | Operations | FW 3.0.1 | Offline</x:v>
      </x:c>
      <x:c r="E7" s="36" t="str">
        <x:v>Secondary valid printer</x:v>
      </x:c>
      <x:c r="F7" s="37" t="str">
        <x:v>Valid</x:v>
      </x:c>
    </x:row>
    <x:row r="8" ht="42" customHeight="1">
      <x:c r="A8" s="35" t="str">
        <x:v>TD-PRN-WIFI-01</x:v>
      </x:c>
      <x:c r="B8" s="36" t="str">
        <x:v>Printer</x:v>
      </x:c>
      <x:c r="C8" s="36" t="str">
        <x:v>Meeting Room Printer</x:v>
      </x:c>
      <x:c r="D8" s="36" t="str">
        <x:v>NovaJet T200 | NJT200-00003 | 192.168.10.27 | Wi-Fi | Meeting Room | FW 1.5.0 | Online</x:v>
      </x:c>
      <x:c r="E8" s="36" t="str">
        <x:v>Valid Wi-Fi printer</x:v>
      </x:c>
      <x:c r="F8" s="37" t="str">
        <x:v>Valid</x:v>
      </x:c>
    </x:row>
    <x:row r="9" ht="42" customHeight="1">
      <x:c r="A9" s="35" t="str">
        <x:v>TD-PRN-USB-01</x:v>
      </x:c>
      <x:c r="B9" s="36" t="str">
        <x:v>Printer</x:v>
      </x:c>
      <x:c r="C9" s="36" t="str">
        <x:v>Reception USB Printer</x:v>
      </x:c>
      <x:c r="D9" s="36" t="str">
        <x:v>PrintCore M300 | PCM300-00004 | No IP | USB | Reception | FW 1.2.4 | Maintenance</x:v>
      </x:c>
      <x:c r="E9" s="36" t="str">
        <x:v>Valid USB printer without IP</x:v>
      </x:c>
      <x:c r="F9" s="37" t="str">
        <x:v>Valid</x:v>
      </x:c>
    </x:row>
    <x:row r="10" ht="42" customHeight="1">
      <x:c r="A10" s="35" t="str">
        <x:v>TD-PRN-WIFI-NO-IP</x:v>
      </x:c>
      <x:c r="B10" s="36" t="str">
        <x:v>Printer</x:v>
      </x:c>
      <x:c r="C10" s="36" t="str">
        <x:v>Wi-Fi printer without IP</x:v>
      </x:c>
      <x:c r="D10" s="36" t="str">
        <x:v>NovaJet T201 | NJT201-00005 | Empty IP | Wi-Fi | Training Room | FW 1.5.0 | Online</x:v>
      </x:c>
      <x:c r="E10" s="36" t="str">
        <x:v>Required IP omitted</x:v>
      </x:c>
      <x:c r="F10" s="37" t="str">
        <x:v>Invalid</x:v>
      </x:c>
    </x:row>
    <x:row r="11" ht="42" customHeight="1">
      <x:c r="A11" s="35" t="str">
        <x:v>TD-PRN-ETH-NO-IP</x:v>
      </x:c>
      <x:c r="B11" s="36" t="str">
        <x:v>Printer</x:v>
      </x:c>
      <x:c r="C11" s="36" t="str">
        <x:v>Ethernet printer without IP</x:v>
      </x:c>
      <x:c r="D11" s="36" t="str">
        <x:v>NovaJet X101 | NJX101-00006 | Empty IP | Ethernet | Store Room | FW 2.1.0 | Offline</x:v>
      </x:c>
      <x:c r="E11" s="36" t="str">
        <x:v>Required IP omitted</x:v>
      </x:c>
      <x:c r="F11" s="37" t="str">
        <x:v>Invalid</x:v>
      </x:c>
    </x:row>
    <x:row r="12" ht="42" customHeight="1">
      <x:c r="A12" s="35" t="str">
        <x:v>TD-IP-INVALID-01</x:v>
      </x:c>
      <x:c r="B12" s="36" t="str">
        <x:v>IP Address</x:v>
      </x:c>
      <x:c r="C12" s="36" t="str">
        <x:v>Octet above maximum</x:v>
      </x:c>
      <x:c r="D12" s="36" t="str">
        <x:v>192.168.10.256</x:v>
      </x:c>
      <x:c r="E12" s="36" t="str">
        <x:v>Fourth octet exceeds 255</x:v>
      </x:c>
      <x:c r="F12" s="37" t="str">
        <x:v>Invalid</x:v>
      </x:c>
    </x:row>
    <x:row r="13" ht="42" customHeight="1">
      <x:c r="A13" s="35" t="str">
        <x:v>TD-IP-INVALID-02</x:v>
      </x:c>
      <x:c r="B13" s="36" t="str">
        <x:v>IP Address</x:v>
      </x:c>
      <x:c r="C13" s="36" t="str">
        <x:v>Incomplete IPv4</x:v>
      </x:c>
      <x:c r="D13" s="36" t="str">
        <x:v>192.168.10.</x:v>
      </x:c>
      <x:c r="E13" s="36" t="str">
        <x:v>Fourth octet is missing</x:v>
      </x:c>
      <x:c r="F13" s="37" t="str">
        <x:v>Invalid</x:v>
      </x:c>
    </x:row>
    <x:row r="14" ht="42" customHeight="1">
      <x:c r="A14" s="35" t="str">
        <x:v>TD-IP-BOUNDARY</x:v>
      </x:c>
      <x:c r="B14" s="36" t="str">
        <x:v>IP Address</x:v>
      </x:c>
      <x:c r="C14" s="36" t="str">
        <x:v>IPv4 boundaries</x:v>
      </x:c>
      <x:c r="D14" s="36" t="str">
        <x:v>0.0.0.0 and 255.255.255.255</x:v>
      </x:c>
      <x:c r="E14" s="36" t="str">
        <x:v>Expected acceptance depends on documented network policy</x:v>
      </x:c>
      <x:c r="F14" s="37" t="str">
        <x:v>Boundary</x:v>
      </x:c>
    </x:row>
    <x:row r="15" ht="42" customHeight="1">
      <x:c r="A15" s="35" t="str">
        <x:v>TD-DUP-SERIAL</x:v>
      </x:c>
      <x:c r="B15" s="36" t="str">
        <x:v>Printer</x:v>
      </x:c>
      <x:c r="C15" s="36" t="str">
        <x:v>Duplicate serial number</x:v>
      </x:c>
      <x:c r="D15" s="36" t="str">
        <x:v>NJX100-00001</x:v>
      </x:c>
      <x:c r="E15" s="36" t="str">
        <x:v>Serial number already belongs to Finance Room Printer</x:v>
      </x:c>
      <x:c r="F15" s="37" t="str">
        <x:v>Invalid</x:v>
      </x:c>
    </x:row>
    <x:row r="16" ht="42" customHeight="1">
      <x:c r="A16" s="35" t="str">
        <x:v>TD-DUP-IP</x:v>
      </x:c>
      <x:c r="B16" s="36" t="str">
        <x:v>Printer</x:v>
      </x:c>
      <x:c r="C16" s="36" t="str">
        <x:v>Duplicate IP address</x:v>
      </x:c>
      <x:c r="D16" s="36" t="str">
        <x:v>192.168.10.25</x:v>
      </x:c>
      <x:c r="E16" s="36" t="str">
        <x:v>IP already belongs to Finance Room Printer</x:v>
      </x:c>
      <x:c r="F16" s="37" t="str">
        <x:v>Invalid</x:v>
      </x:c>
    </x:row>
    <x:row r="17" ht="42" customHeight="1">
      <x:c r="A17" s="35" t="str">
        <x:v>TD-EMPTY</x:v>
      </x:c>
      <x:c r="B17" s="36" t="str">
        <x:v>Registration Form</x:v>
      </x:c>
      <x:c r="C17" s="36" t="str">
        <x:v>Empty submission</x:v>
      </x:c>
      <x:c r="D17" s="36" t="str">
        <x:v>All fields empty</x:v>
      </x:c>
      <x:c r="E17" s="36" t="str">
        <x:v>Mandatory-field validation</x:v>
      </x:c>
      <x:c r="F17" s="37" t="str">
        <x:v>Invalid</x:v>
      </x:c>
    </x:row>
    <x:row r="18" ht="42" customHeight="1">
      <x:c r="A18" s="35" t="str">
        <x:v>TD-STATUS-SET</x:v>
      </x:c>
      <x:c r="B18" s="36" t="str">
        <x:v>Status</x:v>
      </x:c>
      <x:c r="C18" s="36" t="str">
        <x:v>Supported statuses</x:v>
      </x:c>
      <x:c r="D18" s="36" t="str">
        <x:v>Online | Offline | Busy | Maintenance | Error</x:v>
      </x:c>
      <x:c r="E18" s="36" t="str">
        <x:v>Used for status display and transition coverage</x:v>
      </x:c>
      <x:c r="F18" s="37" t="str">
        <x:v>Valid</x:v>
      </x:c>
    </x:row>
    <x:row r="19" ht="42" customHeight="1">
      <x:c r="A19" s="35" t="str">
        <x:v>TD-TRANS-ONLINE-BUSY</x:v>
      </x:c>
      <x:c r="B19" s="36" t="str">
        <x:v>Status Transition</x:v>
      </x:c>
      <x:c r="C19" s="36" t="str">
        <x:v>Online to Busy</x:v>
      </x:c>
      <x:c r="D19" s="36" t="str">
        <x:v>Current: Online | Requested: Busy</x:v>
      </x:c>
      <x:c r="E19" s="36" t="str">
        <x:v>Permitted transition</x:v>
      </x:c>
      <x:c r="F19" s="37" t="str">
        <x:v>Valid</x:v>
      </x:c>
    </x:row>
    <x:row r="20" ht="42" customHeight="1">
      <x:c r="A20" s="35" t="str">
        <x:v>TD-TRANS-OFFLINE-ONLINE</x:v>
      </x:c>
      <x:c r="B20" s="36" t="str">
        <x:v>Status Transition</x:v>
      </x:c>
      <x:c r="C20" s="36" t="str">
        <x:v>Offline to Online</x:v>
      </x:c>
      <x:c r="D20" s="36" t="str">
        <x:v>Current: Offline | Requested: Online</x:v>
      </x:c>
      <x:c r="E20" s="36" t="str">
        <x:v>Permitted transition</x:v>
      </x:c>
      <x:c r="F20" s="37" t="str">
        <x:v>Valid</x:v>
      </x:c>
    </x:row>
    <x:row r="21" ht="42" customHeight="1">
      <x:c r="A21" s="35" t="str">
        <x:v>TD-TRANS-MAINT-BUSY</x:v>
      </x:c>
      <x:c r="B21" s="36" t="str">
        <x:v>Status Transition</x:v>
      </x:c>
      <x:c r="C21" s="36" t="str">
        <x:v>Maintenance to Busy</x:v>
      </x:c>
      <x:c r="D21" s="36" t="str">
        <x:v>Current: Maintenance | Requested: Busy</x:v>
      </x:c>
      <x:c r="E21" s="36" t="str">
        <x:v>Prohibited transition</x:v>
      </x:c>
      <x:c r="F21" s="37" t="str">
        <x:v>Invalid</x:v>
      </x:c>
    </x:row>
    <x:row r="22" ht="42" customHeight="1">
      <x:c r="A22" s="35" t="str">
        <x:v>TD-SEARCH-SERIAL</x:v>
      </x:c>
      <x:c r="B22" s="36" t="str">
        <x:v>Search</x:v>
      </x:c>
      <x:c r="C22" s="36" t="str">
        <x:v>Exact serial number</x:v>
      </x:c>
      <x:c r="D22" s="36" t="str">
        <x:v>NJX100-00001</x:v>
      </x:c>
      <x:c r="E22" s="36" t="str">
        <x:v>Existing exact value</x:v>
      </x:c>
      <x:c r="F22" s="37" t="str">
        <x:v>Valid</x:v>
      </x:c>
    </x:row>
    <x:row r="23" ht="42" customHeight="1">
      <x:c r="A23" s="35" t="str">
        <x:v>TD-SEARCH-NAME</x:v>
      </x:c>
      <x:c r="B23" s="36" t="str">
        <x:v>Search</x:v>
      </x:c>
      <x:c r="C23" s="36" t="str">
        <x:v>Partial printer name</x:v>
      </x:c>
      <x:c r="D23" s="36" t="str">
        <x:v>Finance</x:v>
      </x:c>
      <x:c r="E23" s="36" t="str">
        <x:v>Existing partial value</x:v>
      </x:c>
      <x:c r="F23" s="37" t="str">
        <x:v>Valid</x:v>
      </x:c>
    </x:row>
    <x:row r="24" ht="42" customHeight="1">
      <x:c r="A24" s="35" t="str">
        <x:v>TD-SEARCH-NONE</x:v>
      </x:c>
      <x:c r="B24" s="36" t="str">
        <x:v>Search</x:v>
      </x:c>
      <x:c r="C24" s="36" t="str">
        <x:v>Unknown value</x:v>
      </x:c>
      <x:c r="D24" s="36" t="str">
        <x:v>UNKNOWN-99999</x:v>
      </x:c>
      <x:c r="E24" s="36" t="str">
        <x:v>No matching printer</x:v>
      </x:c>
      <x:c r="F24" s="37" t="str">
        <x:v>Invalid</x:v>
      </x:c>
    </x:row>
    <x:row r="25" ht="42" customHeight="1">
      <x:c r="A25" s="35" t="str">
        <x:v>TD-FILTER-ONLINE</x:v>
      </x:c>
      <x:c r="B25" s="36" t="str">
        <x:v>Filter</x:v>
      </x:c>
      <x:c r="C25" s="36" t="str">
        <x:v>Status filter</x:v>
      </x:c>
      <x:c r="D25" s="36" t="str">
        <x:v>Online</x:v>
      </x:c>
      <x:c r="E25" s="36" t="str">
        <x:v>Return Online printers only</x:v>
      </x:c>
      <x:c r="F25" s="37" t="str">
        <x:v>Valid</x:v>
      </x:c>
    </x:row>
    <x:row r="26" ht="42" customHeight="1">
      <x:c r="A26" s="35" t="str">
        <x:v>TD-FILTER-USB</x:v>
      </x:c>
      <x:c r="B26" s="36" t="str">
        <x:v>Filter</x:v>
      </x:c>
      <x:c r="C26" s="36" t="str">
        <x:v>Connection filter</x:v>
      </x:c>
      <x:c r="D26" s="36" t="str">
        <x:v>USB</x:v>
      </x:c>
      <x:c r="E26" s="36" t="str">
        <x:v>Return USB printers only</x:v>
      </x:c>
      <x:c r="F26" s="37" t="str">
        <x:v>Valid</x:v>
      </x:c>
    </x:row>
    <x:row r="27" ht="42" customHeight="1">
      <x:c r="A27" s="38" t="str">
        <x:v>TD-CLEAR-FILTERS</x:v>
      </x:c>
      <x:c r="B27" s="39" t="str">
        <x:v>Search and Filter</x:v>
      </x:c>
      <x:c r="C27" s="39" t="str">
        <x:v>Clear controls</x:v>
      </x:c>
      <x:c r="D27" s="39" t="str">
        <x:v>Active search plus Status and Connection Type filters</x:v>
      </x:c>
      <x:c r="E27" s="39" t="str">
        <x:v>Restore default list</x:v>
      </x:c>
      <x:c r="F27" s="40" t="str">
        <x:v>Valid</x:v>
      </x:c>
    </x:row>
  </x:sheetData>
  <x:mergeCells>
    <x:mergeCell ref="A1:F1"/>
  </x:mergeCells>
  <x:conditionalFormatting sqref="F4:F27">
    <x:cfRule type="containsText" dxfId="3" priority="1" operator="containsText" text="Valid"/>
    <x:cfRule type="containsText" dxfId="4" priority="2" operator="containsText" text="Invalid"/>
    <x:cfRule type="containsText" dxfId="5" priority="3" operator="containsText" text="Boundary"/>
  </x:conditionalFormatting>
  <x:pageMargins left="0.7" right="0.7" top="0.75" bottom="0.75" header="0.3" footer="0.3"/>
  <x:tableParts count="1">
    <x:tablePart xmlns:r="http://schemas.openxmlformats.org/officeDocument/2006/relationships" r:id="R51fe85684eae4e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0" customHeight="1">
      <x:c r="A1" s="4" t="str">
        <x:v>PrintFlow – Printer Status Transition Matrix</x:v>
      </x:c>
      <x:c r="B1" s="4" t="str">
        <x:v>PrintFlow – Printer Status Transition Matrix</x:v>
      </x:c>
      <x:c r="C1" s="4" t="str">
        <x:v>PrintFlow – Printer Status Transition Matrix</x:v>
      </x:c>
      <x:c r="D1" s="4" t="str">
        <x:v>PrintFlow – Printer Status Transition Matrix</x:v>
      </x:c>
      <x:c r="E1" s="4" t="str">
        <x:v>PrintFlow – Printer Status Transition Matrix</x:v>
      </x:c>
      <x:c r="F1" s="4" t="str">
        <x:v>PrintFlow – Printer Status Transition Matrix</x:v>
      </x:c>
    </x:row>
    <x:row r="2">
      <x:c r="A2" s="6" t="str">
        <x:v>Rows represent the current status; columns represent the requested next status.</x:v>
      </x:c>
      <x:c r="B2" s="6"/>
      <x:c r="C2" s="6"/>
      <x:c r="D2" s="6"/>
      <x:c r="E2" s="6"/>
      <x:c r="F2" s="6"/>
    </x:row>
    <x:row r="4" ht="34" customHeight="1">
      <x:c r="A4" s="13" t="str">
        <x:v>Current \ Next</x:v>
      </x:c>
      <x:c r="B4" s="13" t="str">
        <x:v>Online</x:v>
      </x:c>
      <x:c r="C4" s="13" t="str">
        <x:v>Offline</x:v>
      </x:c>
      <x:c r="D4" s="13" t="str">
        <x:v>Busy</x:v>
      </x:c>
      <x:c r="E4" s="13" t="str">
        <x:v>Maintenance</x:v>
      </x:c>
      <x:c r="F4" s="13" t="str">
        <x:v>Error</x:v>
      </x:c>
    </x:row>
    <x:row r="5">
      <x:c r="A5" s="53" t="str">
        <x:v>Online</x:v>
      </x:c>
      <x:c r="B5" s="55" t="str">
        <x:v>Current</x:v>
      </x:c>
      <x:c r="C5" s="55" t="str">
        <x:v>Allowed</x:v>
      </x:c>
      <x:c r="D5" s="55" t="str">
        <x:v>Allowed</x:v>
      </x:c>
      <x:c r="E5" s="55" t="str">
        <x:v>Allowed</x:v>
      </x:c>
      <x:c r="F5" s="55" t="str">
        <x:v>Allowed</x:v>
      </x:c>
    </x:row>
    <x:row r="6">
      <x:c r="A6" s="53" t="str">
        <x:v>Offline</x:v>
      </x:c>
      <x:c r="B6" s="55" t="str">
        <x:v>Allowed</x:v>
      </x:c>
      <x:c r="C6" s="55" t="str">
        <x:v>Current</x:v>
      </x:c>
      <x:c r="D6" s="55" t="str">
        <x:v>Blocked</x:v>
      </x:c>
      <x:c r="E6" s="55" t="str">
        <x:v>Allowed</x:v>
      </x:c>
      <x:c r="F6" s="55" t="str">
        <x:v>Allowed</x:v>
      </x:c>
    </x:row>
    <x:row r="7">
      <x:c r="A7" s="53" t="str">
        <x:v>Busy</x:v>
      </x:c>
      <x:c r="B7" s="55" t="str">
        <x:v>Allowed</x:v>
      </x:c>
      <x:c r="C7" s="55" t="str">
        <x:v>Allowed</x:v>
      </x:c>
      <x:c r="D7" s="55" t="str">
        <x:v>Current</x:v>
      </x:c>
      <x:c r="E7" s="55" t="str">
        <x:v>Blocked</x:v>
      </x:c>
      <x:c r="F7" s="55" t="str">
        <x:v>Allowed</x:v>
      </x:c>
    </x:row>
    <x:row r="8">
      <x:c r="A8" s="53" t="str">
        <x:v>Maintenance</x:v>
      </x:c>
      <x:c r="B8" s="55" t="str">
        <x:v>Allowed</x:v>
      </x:c>
      <x:c r="C8" s="55" t="str">
        <x:v>Allowed</x:v>
      </x:c>
      <x:c r="D8" s="55" t="str">
        <x:v>Blocked</x:v>
      </x:c>
      <x:c r="E8" s="55" t="str">
        <x:v>Current</x:v>
      </x:c>
      <x:c r="F8" s="55" t="str">
        <x:v>Blocked</x:v>
      </x:c>
    </x:row>
    <x:row r="9">
      <x:c r="A9" s="53" t="str">
        <x:v>Error</x:v>
      </x:c>
      <x:c r="B9" s="55" t="str">
        <x:v>Allowed</x:v>
      </x:c>
      <x:c r="C9" s="55" t="str">
        <x:v>Allowed</x:v>
      </x:c>
      <x:c r="D9" s="55" t="str">
        <x:v>Blocked</x:v>
      </x:c>
      <x:c r="E9" s="55" t="str">
        <x:v>Allowed</x:v>
      </x:c>
      <x:c r="F9" s="55" t="str">
        <x:v>Current</x:v>
      </x:c>
    </x:row>
    <x:row r="11" ht="44" customHeight="1">
      <x:c r="A11" s="59" t="str">
        <x:v>Important: Maintenance → Busy is explicitly prohibited by RULE-006 / FR-025. Other blocked transitions represent the initial portfolio specification and should be updated if requirements change.</x:v>
      </x:c>
      <x:c r="B11" s="59"/>
      <x:c r="C11" s="59"/>
      <x:c r="D11" s="59"/>
      <x:c r="E11" s="59"/>
      <x:c r="F11" s="59"/>
    </x:row>
  </x:sheetData>
  <x:mergeCells>
    <x:mergeCell ref="A1:F1"/>
    <x:mergeCell ref="A2:F2"/>
    <x:mergeCell ref="A11:F11"/>
  </x:mergeCells>
  <x:conditionalFormatting sqref="B5:F9">
    <x:cfRule type="containsText" dxfId="6" priority="1" operator="containsText" text="Allowed"/>
    <x:cfRule type="containsText" dxfId="7" priority="2" operator="containsText" text="Blocked"/>
    <x:cfRule type="containsText" dxfId="8" priority="3" operator="containsText" text="Current"/>
  </x:conditionalFormatting>
  <x:pageMargins left="0.7" right="0.7" top="0.75" bottom="0.75" header="0.3" footer="0.3"/>
</x:worksheet>
</file>